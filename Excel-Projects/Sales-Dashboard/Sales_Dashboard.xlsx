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Projects\Exxcel Project\Sales Dashboard\"/>
    </mc:Choice>
  </mc:AlternateContent>
  <xr:revisionPtr revIDLastSave="0" documentId="8_{DED861FA-74BF-4C5F-8592-5BE3FD352082}" xr6:coauthVersionLast="47" xr6:coauthVersionMax="47" xr10:uidLastSave="{00000000-0000-0000-0000-000000000000}"/>
  <bookViews>
    <workbookView xWindow="-110" yWindow="-110" windowWidth="19420" windowHeight="10300" activeTab="2" xr2:uid="{00000000-000D-0000-FFFF-FFFF00000000}"/>
  </bookViews>
  <sheets>
    <sheet name="Instructions" sheetId="8" r:id="rId1"/>
    <sheet name="SalesOrders" sheetId="1" r:id="rId2"/>
    <sheet name="Sales Performance Dashboard" sheetId="23" r:id="rId3"/>
    <sheet name="PT Sales" sheetId="17" r:id="rId4"/>
    <sheet name="PT Region" sheetId="18" r:id="rId5"/>
    <sheet name="PT TopItems" sheetId="20" r:id="rId6"/>
    <sheet name="PT TotalUnits" sheetId="24" r:id="rId7"/>
    <sheet name="PT Monthly" sheetId="21" r:id="rId8"/>
    <sheet name="PT Rep" sheetId="22" r:id="rId9"/>
    <sheet name="MyLinks" sheetId="12" r:id="rId10"/>
  </sheets>
  <definedNames>
    <definedName name="Slicer_Item">#N/A</definedName>
    <definedName name="Slicer_Region">#N/A</definedName>
    <definedName name="Slicer_Rep">#N/A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23" l="1"/>
</calcChain>
</file>

<file path=xl/sharedStrings.xml><?xml version="1.0" encoding="utf-8"?>
<sst xmlns="http://schemas.openxmlformats.org/spreadsheetml/2006/main" count="218" uniqueCount="79">
  <si>
    <t>Region</t>
  </si>
  <si>
    <t>Rep</t>
  </si>
  <si>
    <t>Item</t>
  </si>
  <si>
    <t>Units</t>
  </si>
  <si>
    <t>Total</t>
  </si>
  <si>
    <t>Gill</t>
  </si>
  <si>
    <t>Jardine</t>
  </si>
  <si>
    <t>Jones</t>
  </si>
  <si>
    <t>Kivell</t>
  </si>
  <si>
    <t>Thompson</t>
  </si>
  <si>
    <t>Smith</t>
  </si>
  <si>
    <t>Howard</t>
  </si>
  <si>
    <t>Morgan</t>
  </si>
  <si>
    <t>Sorvino</t>
  </si>
  <si>
    <t>Unit Cost</t>
  </si>
  <si>
    <t>Pencil</t>
  </si>
  <si>
    <t>Binder</t>
  </si>
  <si>
    <t>Pen</t>
  </si>
  <si>
    <t>Andrews</t>
  </si>
  <si>
    <t>Parent</t>
  </si>
  <si>
    <t>Desk</t>
  </si>
  <si>
    <t>Pen Set</t>
  </si>
  <si>
    <t>OrderDate</t>
  </si>
  <si>
    <t>Contextures Recommends</t>
  </si>
  <si>
    <t>Excel Pivot Tables Blog</t>
  </si>
  <si>
    <t>Contextures Excel Blog</t>
  </si>
  <si>
    <t>Contextures Excel Tips Website</t>
  </si>
  <si>
    <t>Central</t>
  </si>
  <si>
    <t>West</t>
  </si>
  <si>
    <t>East</t>
  </si>
  <si>
    <t>Contextures Sites &amp; News</t>
  </si>
  <si>
    <t>Contextures Excel Newsletter</t>
  </si>
  <si>
    <t>Hundreds of tutorials, tips and sample files</t>
  </si>
  <si>
    <t>Pivot table tutorials and tips, with comments and questions</t>
  </si>
  <si>
    <t>Online Instruction Page</t>
  </si>
  <si>
    <t>Notes</t>
  </si>
  <si>
    <t>•</t>
  </si>
  <si>
    <t>Named Excel Tables</t>
  </si>
  <si>
    <t>Sample Data for Excel</t>
  </si>
  <si>
    <t>The Total column could be changed to a formula, to multiply the Units and Cost columns.</t>
  </si>
  <si>
    <t>Get emails with Excel tips, links, and news</t>
  </si>
  <si>
    <t>Excel tools and training, recommended by Debra</t>
  </si>
  <si>
    <t>Excel Products</t>
  </si>
  <si>
    <t>SalesOrders sheet has office supply sales data for a fictional company</t>
  </si>
  <si>
    <t xml:space="preserve">Each row represents an order. </t>
  </si>
  <si>
    <t>Excel tutorials and tips, with comments and questions</t>
  </si>
  <si>
    <t>VLOOKUP Function Examples</t>
  </si>
  <si>
    <t>More Sample Data</t>
  </si>
  <si>
    <t>Athletes Sample Data</t>
  </si>
  <si>
    <t>Workplace Safety Sample Data</t>
  </si>
  <si>
    <t>Work Orders Sample Data</t>
  </si>
  <si>
    <t>Insurance Policies Sample Data</t>
  </si>
  <si>
    <t>Food Nutrients Sample Data</t>
  </si>
  <si>
    <t>Food Sales Sample Data</t>
  </si>
  <si>
    <t>Hockey Player Sample Data</t>
  </si>
  <si>
    <t>Related tutorials - for Practice Ideas</t>
  </si>
  <si>
    <t>Excel Drop Down Lists</t>
  </si>
  <si>
    <t>Excel Pivot Tables Intro</t>
  </si>
  <si>
    <t>Excel Formulas and Functions</t>
  </si>
  <si>
    <t>Sum of Total</t>
  </si>
  <si>
    <t>Row Labels</t>
  </si>
  <si>
    <t>Grand Total</t>
  </si>
  <si>
    <t>2024</t>
  </si>
  <si>
    <t>2025</t>
  </si>
  <si>
    <t>Jan</t>
  </si>
  <si>
    <t>Feb</t>
  </si>
  <si>
    <t>Mar</t>
  </si>
  <si>
    <t>Apr</t>
  </si>
  <si>
    <t>May</t>
  </si>
  <si>
    <t>Jun</t>
  </si>
  <si>
    <t>Jul</t>
  </si>
  <si>
    <t>Oct</t>
  </si>
  <si>
    <t>Nov</t>
  </si>
  <si>
    <t>Dec</t>
  </si>
  <si>
    <t>Total Sales</t>
  </si>
  <si>
    <t>Sum of Units</t>
  </si>
  <si>
    <t>Total Units Sold</t>
  </si>
  <si>
    <t>Average Sale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</si>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</sst>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4"/>
      <name val="Calibri"/>
      <family val="2"/>
      <scheme val="minor"/>
    </font>
    <font>
      <sz val="12"/>
      <name val="Arial Narrow"/>
      <family val="2"/>
    </font>
    <font>
      <sz val="11"/>
      <name val="Calibri"/>
      <family val="2"/>
      <scheme val="minor"/>
    </font>
    <font>
      <b/>
      <sz val="15"/>
      <color theme="3"/>
      <name val="Calibri"/>
      <family val="2"/>
      <scheme val="minor"/>
    </font>
    <font>
      <u/>
      <sz val="14"/>
      <color rgb="FF0000FF"/>
      <name val="Calibri"/>
      <family val="2"/>
      <scheme val="minor"/>
    </font>
    <font>
      <b/>
      <sz val="16"/>
      <color rgb="FF5A8B39"/>
      <name val="Calibri"/>
      <family val="2"/>
      <scheme val="minor"/>
    </font>
    <font>
      <u/>
      <sz val="14"/>
      <color rgb="FF974D6E"/>
      <name val="Calibri"/>
      <family val="2"/>
    </font>
    <font>
      <b/>
      <sz val="24"/>
      <name val="Calibri"/>
      <family val="2"/>
      <scheme val="minor"/>
    </font>
    <font>
      <sz val="16"/>
      <name val="Calibri"/>
      <family val="2"/>
      <scheme val="minor"/>
    </font>
    <font>
      <b/>
      <sz val="16"/>
      <name val="Calibri"/>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6" fillId="0" borderId="0" applyNumberFormat="0" applyFill="0" applyBorder="0" applyAlignment="0" applyProtection="0"/>
    <xf numFmtId="0" fontId="3" fillId="0" borderId="1" applyNumberFormat="0" applyFill="0" applyBorder="0" applyAlignment="0" applyProtection="0"/>
    <xf numFmtId="0" fontId="5" fillId="0" borderId="0" applyNumberFormat="0" applyFill="0" applyAlignment="0" applyProtection="0"/>
  </cellStyleXfs>
  <cellXfs count="36">
    <xf numFmtId="0" fontId="0" fillId="0" borderId="0" xfId="0"/>
    <xf numFmtId="0" fontId="4" fillId="0" borderId="0" xfId="2" applyAlignment="1"/>
    <xf numFmtId="0" fontId="5" fillId="0" borderId="0" xfId="5"/>
    <xf numFmtId="0" fontId="5" fillId="0" borderId="0" xfId="5" applyAlignment="1">
      <alignment horizontal="left"/>
    </xf>
    <xf numFmtId="0" fontId="0" fillId="0" borderId="0" xfId="0" applyAlignment="1">
      <alignment horizontal="right"/>
    </xf>
    <xf numFmtId="0" fontId="2" fillId="0" borderId="0" xfId="0" applyFont="1" applyAlignment="1">
      <alignment vertical="center"/>
    </xf>
    <xf numFmtId="0" fontId="2" fillId="0" borderId="0" xfId="0" applyFont="1" applyAlignment="1" applyProtection="1">
      <alignment vertical="center"/>
      <protection locked="0"/>
    </xf>
    <xf numFmtId="0" fontId="0" fillId="0" borderId="0" xfId="0" applyAlignment="1">
      <alignment horizontal="right" vertical="top" wrapText="1"/>
    </xf>
    <xf numFmtId="1" fontId="0" fillId="0" borderId="0" xfId="0" applyNumberFormat="1" applyAlignment="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lignment vertical="center"/>
    </xf>
    <xf numFmtId="0" fontId="4" fillId="0" borderId="0" xfId="2" applyAlignment="1" applyProtection="1"/>
    <xf numFmtId="0" fontId="2" fillId="0" borderId="0" xfId="0" applyFont="1" applyAlignment="1">
      <alignment horizontal="left"/>
    </xf>
    <xf numFmtId="0" fontId="0" fillId="0" borderId="0" xfId="0" applyAlignment="1">
      <alignment horizontal="left"/>
    </xf>
    <xf numFmtId="0" fontId="4" fillId="0" borderId="0" xfId="2"/>
    <xf numFmtId="14" fontId="0" fillId="0" borderId="0" xfId="0" applyNumberFormat="1" applyAlignment="1">
      <alignment vertical="center"/>
    </xf>
    <xf numFmtId="14" fontId="0" fillId="0" borderId="0" xfId="0" applyNumberFormat="1" applyAlignment="1">
      <alignment horizontal="center" vertical="center"/>
    </xf>
    <xf numFmtId="14" fontId="2" fillId="0" borderId="0" xfId="0" applyNumberFormat="1" applyFont="1" applyAlignment="1">
      <alignment vertical="center"/>
    </xf>
    <xf numFmtId="1" fontId="0" fillId="0" borderId="0" xfId="0" applyNumberFormat="1" applyAlignment="1" applyProtection="1">
      <alignment vertical="center"/>
      <protection locked="0"/>
    </xf>
    <xf numFmtId="4" fontId="0" fillId="0" borderId="0" xfId="0" applyNumberFormat="1" applyAlignment="1">
      <alignment horizontal="left" vertical="center"/>
    </xf>
    <xf numFmtId="4" fontId="0" fillId="0" borderId="0" xfId="1" applyNumberFormat="1" applyFont="1" applyFill="1" applyBorder="1" applyAlignment="1" applyProtection="1">
      <alignment vertical="center"/>
    </xf>
    <xf numFmtId="4" fontId="2" fillId="0" borderId="0" xfId="0" applyNumberFormat="1" applyFont="1" applyAlignment="1">
      <alignment vertical="center"/>
    </xf>
    <xf numFmtId="2" fontId="0" fillId="0" borderId="0" xfId="0" applyNumberFormat="1" applyAlignment="1">
      <alignment horizontal="left" vertical="center"/>
    </xf>
    <xf numFmtId="2" fontId="0" fillId="0" borderId="0" xfId="1" applyNumberFormat="1" applyFont="1" applyFill="1" applyBorder="1" applyAlignment="1" applyProtection="1">
      <alignment vertical="center"/>
    </xf>
    <xf numFmtId="2" fontId="2" fillId="0" borderId="0" xfId="0" applyNumberFormat="1" applyFont="1" applyAlignment="1">
      <alignment vertical="center"/>
    </xf>
    <xf numFmtId="0" fontId="0" fillId="0" borderId="0" xfId="0" pivotButton="1"/>
    <xf numFmtId="2" fontId="0" fillId="0" borderId="0" xfId="0" applyNumberFormat="1"/>
    <xf numFmtId="0" fontId="0" fillId="0" borderId="0" xfId="0" applyAlignment="1">
      <alignment horizontal="left" indent="1"/>
    </xf>
    <xf numFmtId="1" fontId="0" fillId="0" borderId="0" xfId="0" applyNumberFormat="1"/>
    <xf numFmtId="0" fontId="7" fillId="2" borderId="0" xfId="0" applyFont="1" applyFill="1"/>
    <xf numFmtId="0" fontId="0" fillId="2" borderId="0" xfId="0" applyFill="1"/>
    <xf numFmtId="0" fontId="8" fillId="2" borderId="2" xfId="0" applyFont="1" applyFill="1" applyBorder="1" applyAlignment="1">
      <alignment horizontal="left" vertical="center"/>
    </xf>
    <xf numFmtId="0" fontId="9" fillId="2" borderId="2" xfId="0" applyFont="1" applyFill="1" applyBorder="1" applyAlignment="1">
      <alignment horizontal="left" vertical="center"/>
    </xf>
    <xf numFmtId="2" fontId="8" fillId="2" borderId="2" xfId="0" applyNumberFormat="1" applyFont="1" applyFill="1" applyBorder="1" applyAlignment="1">
      <alignment horizontal="left" vertical="center"/>
    </xf>
    <xf numFmtId="1" fontId="8" fillId="2" borderId="2" xfId="0" applyNumberFormat="1" applyFont="1" applyFill="1" applyBorder="1" applyAlignment="1">
      <alignment horizontal="left" vertical="center"/>
    </xf>
  </cellXfs>
  <cellStyles count="6">
    <cellStyle name="Comma" xfId="1" builtinId="3"/>
    <cellStyle name="Followed Hyperlink" xfId="3" builtinId="9" customBuiltin="1"/>
    <cellStyle name="Heading 1" xfId="4" builtinId="16" customBuiltin="1"/>
    <cellStyle name="Heading 2" xfId="5" builtinId="17" customBuiltin="1"/>
    <cellStyle name="Hyperlink" xfId="2" builtinId="8" customBuiltin="1"/>
    <cellStyle name="Normal" xfId="0" builtinId="0" customBuiltin="1"/>
  </cellStyles>
  <dxfs count="52">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2" formatCode="0.00"/>
    </dxf>
    <dxf>
      <numFmt numFmtId="4" formatCode="#,##0.00"/>
      <alignment horizontal="general" vertical="center" textRotation="0" wrapText="0" indent="0" justifyLastLine="0" shrinkToFit="0" readingOrder="0"/>
    </dxf>
    <dxf>
      <numFmt numFmtId="1" formatCode="0"/>
    </dxf>
    <dxf>
      <numFmt numFmtId="19" formatCode="m/d/yyyy"/>
    </dxf>
    <dxf>
      <font>
        <sz val="16"/>
      </font>
    </dxf>
    <dxf>
      <font>
        <sz val="16"/>
      </font>
    </dxf>
    <dxf>
      <font>
        <sz val="16"/>
      </font>
    </dxf>
    <dxf>
      <alignment horizontal="left"/>
    </dxf>
    <dxf>
      <alignment horizontal="left"/>
    </dxf>
    <dxf>
      <alignment horizontal="left"/>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font>
        <b val="0"/>
      </font>
    </dxf>
    <dxf>
      <fill>
        <patternFill patternType="solid">
          <bgColor theme="0"/>
        </patternFill>
      </fill>
    </dxf>
    <dxf>
      <font>
        <sz val="20"/>
      </font>
    </dxf>
    <dxf>
      <font>
        <sz val="20"/>
      </font>
    </dxf>
    <dxf>
      <font>
        <sz val="20"/>
      </font>
    </dxf>
    <dxf>
      <font>
        <sz val="16"/>
      </font>
    </dxf>
    <dxf>
      <font>
        <sz val="16"/>
      </font>
    </dxf>
    <dxf>
      <font>
        <sz val="16"/>
      </font>
    </dxf>
    <dxf>
      <alignment horizontal="left"/>
    </dxf>
    <dxf>
      <alignment horizontal="left"/>
    </dxf>
    <dxf>
      <alignment horizontal="left"/>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font>
        <b val="0"/>
      </font>
    </dxf>
    <dxf>
      <fill>
        <patternFill patternType="solid">
          <bgColor theme="0"/>
        </patternFill>
      </fill>
    </dxf>
    <dxf>
      <font>
        <sz val="20"/>
      </font>
    </dxf>
    <dxf>
      <font>
        <sz val="20"/>
      </font>
    </dxf>
    <dxf>
      <font>
        <sz val="2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Region!PivotTable6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Region'!$B$3</c:f>
              <c:strCache>
                <c:ptCount val="1"/>
                <c:pt idx="0">
                  <c:v>Total</c:v>
                </c:pt>
              </c:strCache>
            </c:strRef>
          </c:tx>
          <c:spPr>
            <a:solidFill>
              <a:schemeClr val="accent1"/>
            </a:solidFill>
            <a:ln>
              <a:noFill/>
            </a:ln>
            <a:effectLst/>
          </c:spPr>
          <c:invertIfNegative val="0"/>
          <c:cat>
            <c:strRef>
              <c:f>'PT Region'!$A$4:$A$5</c:f>
              <c:strCache>
                <c:ptCount val="1"/>
                <c:pt idx="0">
                  <c:v>West</c:v>
                </c:pt>
              </c:strCache>
            </c:strRef>
          </c:cat>
          <c:val>
            <c:numRef>
              <c:f>'PT Region'!$B$4:$B$5</c:f>
              <c:numCache>
                <c:formatCode>0.00</c:formatCode>
                <c:ptCount val="1"/>
                <c:pt idx="0">
                  <c:v>1139.4299999999998</c:v>
                </c:pt>
              </c:numCache>
            </c:numRef>
          </c:val>
          <c:extLst>
            <c:ext xmlns:c16="http://schemas.microsoft.com/office/drawing/2014/chart" uri="{C3380CC4-5D6E-409C-BE32-E72D297353CC}">
              <c16:uniqueId val="{00000000-BA9C-4833-B588-603E9A446524}"/>
            </c:ext>
          </c:extLst>
        </c:ser>
        <c:dLbls>
          <c:showLegendKey val="0"/>
          <c:showVal val="0"/>
          <c:showCatName val="0"/>
          <c:showSerName val="0"/>
          <c:showPercent val="0"/>
          <c:showBubbleSize val="0"/>
        </c:dLbls>
        <c:gapWidth val="219"/>
        <c:overlap val="-27"/>
        <c:axId val="1427799695"/>
        <c:axId val="1427555903"/>
      </c:barChart>
      <c:catAx>
        <c:axId val="14277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55903"/>
        <c:crosses val="autoZero"/>
        <c:auto val="1"/>
        <c:lblAlgn val="ctr"/>
        <c:lblOffset val="100"/>
        <c:noMultiLvlLbl val="0"/>
      </c:catAx>
      <c:valAx>
        <c:axId val="142755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9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TopItems!PivotTable8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Items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TopItems'!$B$3</c:f>
              <c:strCache>
                <c:ptCount val="1"/>
                <c:pt idx="0">
                  <c:v>Total</c:v>
                </c:pt>
              </c:strCache>
            </c:strRef>
          </c:tx>
          <c:spPr>
            <a:solidFill>
              <a:schemeClr val="accent1"/>
            </a:solidFill>
            <a:ln>
              <a:noFill/>
            </a:ln>
            <a:effectLst/>
          </c:spPr>
          <c:invertIfNegative val="0"/>
          <c:cat>
            <c:strRef>
              <c:f>'PT TopItems'!$A$4:$A$7</c:f>
              <c:strCache>
                <c:ptCount val="3"/>
                <c:pt idx="0">
                  <c:v>Binder</c:v>
                </c:pt>
                <c:pt idx="1">
                  <c:v>Pen Set</c:v>
                </c:pt>
                <c:pt idx="2">
                  <c:v>Pencil</c:v>
                </c:pt>
              </c:strCache>
            </c:strRef>
          </c:cat>
          <c:val>
            <c:numRef>
              <c:f>'PT TopItems'!$B$4:$B$7</c:f>
              <c:numCache>
                <c:formatCode>0.00</c:formatCode>
                <c:ptCount val="3"/>
                <c:pt idx="0">
                  <c:v>9577.65</c:v>
                </c:pt>
                <c:pt idx="1">
                  <c:v>4169.87</c:v>
                </c:pt>
                <c:pt idx="2">
                  <c:v>2135.1400000000003</c:v>
                </c:pt>
              </c:numCache>
            </c:numRef>
          </c:val>
          <c:extLst>
            <c:ext xmlns:c16="http://schemas.microsoft.com/office/drawing/2014/chart" uri="{C3380CC4-5D6E-409C-BE32-E72D297353CC}">
              <c16:uniqueId val="{00000000-17EE-484C-9C2B-9EFCB98737BD}"/>
            </c:ext>
          </c:extLst>
        </c:ser>
        <c:dLbls>
          <c:showLegendKey val="0"/>
          <c:showVal val="0"/>
          <c:showCatName val="0"/>
          <c:showSerName val="0"/>
          <c:showPercent val="0"/>
          <c:showBubbleSize val="0"/>
        </c:dLbls>
        <c:gapWidth val="219"/>
        <c:overlap val="-27"/>
        <c:axId val="1597925919"/>
        <c:axId val="1597923519"/>
      </c:barChart>
      <c:catAx>
        <c:axId val="15979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23519"/>
        <c:crosses val="autoZero"/>
        <c:auto val="1"/>
        <c:lblAlgn val="ctr"/>
        <c:lblOffset val="100"/>
        <c:noMultiLvlLbl val="0"/>
      </c:catAx>
      <c:valAx>
        <c:axId val="1597923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Monthly!PivotTable9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'PT Monthly'!$A$4:$A$18</c:f>
              <c:multiLvlStrCache>
                <c:ptCount val="12"/>
                <c:lvl>
                  <c:pt idx="0">
                    <c:v>Jan</c:v>
                  </c:pt>
                  <c:pt idx="1">
                    <c:v>Apr</c:v>
                  </c:pt>
                  <c:pt idx="2">
                    <c:v>Jun</c:v>
                  </c:pt>
                  <c:pt idx="3">
                    <c:v>Jul</c:v>
                  </c:pt>
                  <c:pt idx="4">
                    <c:v>Oct</c:v>
                  </c:pt>
                  <c:pt idx="5">
                    <c:v>Jan</c:v>
                  </c:pt>
                  <c:pt idx="6">
                    <c:v>Feb</c:v>
                  </c:pt>
                  <c:pt idx="7">
                    <c:v>Mar</c:v>
                  </c:pt>
                  <c:pt idx="8">
                    <c:v>May</c:v>
                  </c:pt>
                  <c:pt idx="9">
                    <c:v>Oct</c:v>
                  </c:pt>
                  <c:pt idx="10">
                    <c:v>Nov</c:v>
                  </c:pt>
                  <c:pt idx="11">
                    <c:v>Dec</c:v>
                  </c:pt>
                </c:lvl>
                <c:lvl>
                  <c:pt idx="0">
                    <c:v>2024</c:v>
                  </c:pt>
                  <c:pt idx="5">
                    <c:v>2025</c:v>
                  </c:pt>
                </c:lvl>
              </c:multiLvlStrCache>
            </c:multiLvlStrRef>
          </c:cat>
          <c:val>
            <c:numRef>
              <c:f>'PT Monthly'!$B$4:$B$18</c:f>
              <c:numCache>
                <c:formatCode>0.00</c:formatCode>
                <c:ptCount val="12"/>
                <c:pt idx="0">
                  <c:v>999.49999999999989</c:v>
                </c:pt>
                <c:pt idx="1">
                  <c:v>299.40000000000003</c:v>
                </c:pt>
                <c:pt idx="2">
                  <c:v>539.4</c:v>
                </c:pt>
                <c:pt idx="3">
                  <c:v>1676.8999999999999</c:v>
                </c:pt>
                <c:pt idx="4">
                  <c:v>251.72</c:v>
                </c:pt>
                <c:pt idx="5">
                  <c:v>413.54</c:v>
                </c:pt>
                <c:pt idx="6">
                  <c:v>1324.96</c:v>
                </c:pt>
                <c:pt idx="7">
                  <c:v>139.92999999999998</c:v>
                </c:pt>
                <c:pt idx="8">
                  <c:v>719.2</c:v>
                </c:pt>
                <c:pt idx="9">
                  <c:v>1139.4299999999998</c:v>
                </c:pt>
                <c:pt idx="10">
                  <c:v>54.89</c:v>
                </c:pt>
                <c:pt idx="11">
                  <c:v>2018.78</c:v>
                </c:pt>
              </c:numCache>
            </c:numRef>
          </c:val>
          <c:smooth val="0"/>
          <c:extLst>
            <c:ext xmlns:c16="http://schemas.microsoft.com/office/drawing/2014/chart" uri="{C3380CC4-5D6E-409C-BE32-E72D297353CC}">
              <c16:uniqueId val="{00000000-7DF3-45AE-84B5-5A6C47AE0211}"/>
            </c:ext>
          </c:extLst>
        </c:ser>
        <c:dLbls>
          <c:showLegendKey val="0"/>
          <c:showVal val="0"/>
          <c:showCatName val="0"/>
          <c:showSerName val="0"/>
          <c:showPercent val="0"/>
          <c:showBubbleSize val="0"/>
        </c:dLbls>
        <c:marker val="1"/>
        <c:smooth val="0"/>
        <c:axId val="1993717983"/>
        <c:axId val="1993716543"/>
      </c:lineChart>
      <c:catAx>
        <c:axId val="19937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16543"/>
        <c:crosses val="autoZero"/>
        <c:auto val="1"/>
        <c:lblAlgn val="ctr"/>
        <c:lblOffset val="100"/>
        <c:noMultiLvlLbl val="0"/>
      </c:catAx>
      <c:valAx>
        <c:axId val="199371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17983"/>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Rep!PivotTable10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Rep'!$B$3</c:f>
              <c:strCache>
                <c:ptCount val="1"/>
                <c:pt idx="0">
                  <c:v>Total</c:v>
                </c:pt>
              </c:strCache>
            </c:strRef>
          </c:tx>
          <c:spPr>
            <a:solidFill>
              <a:schemeClr val="accent1"/>
            </a:solidFill>
            <a:ln>
              <a:noFill/>
            </a:ln>
            <a:effectLst/>
          </c:spPr>
          <c:invertIfNegative val="0"/>
          <c:cat>
            <c:strRef>
              <c:f>'PT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'PT Rep'!$B$4:$B$15</c:f>
              <c:numCache>
                <c:formatCode>0.00</c:formatCode>
                <c:ptCount val="11"/>
                <c:pt idx="0">
                  <c:v>438.37</c:v>
                </c:pt>
                <c:pt idx="1">
                  <c:v>1749.8700000000001</c:v>
                </c:pt>
                <c:pt idx="2">
                  <c:v>536.75</c:v>
                </c:pt>
                <c:pt idx="3">
                  <c:v>2812.19</c:v>
                </c:pt>
                <c:pt idx="4">
                  <c:v>2363.04</c:v>
                </c:pt>
                <c:pt idx="5">
                  <c:v>3109.44</c:v>
                </c:pt>
                <c:pt idx="6">
                  <c:v>1387.77</c:v>
                </c:pt>
                <c:pt idx="7">
                  <c:v>3102.2999999999997</c:v>
                </c:pt>
                <c:pt idx="8">
                  <c:v>1641.43</c:v>
                </c:pt>
                <c:pt idx="9">
                  <c:v>1283.6099999999999</c:v>
                </c:pt>
                <c:pt idx="10">
                  <c:v>1203.1099999999999</c:v>
                </c:pt>
              </c:numCache>
            </c:numRef>
          </c:val>
          <c:extLst>
            <c:ext xmlns:c16="http://schemas.microsoft.com/office/drawing/2014/chart" uri="{C3380CC4-5D6E-409C-BE32-E72D297353CC}">
              <c16:uniqueId val="{00000000-33FC-4B15-B0CE-51BBB7DD6C66}"/>
            </c:ext>
          </c:extLst>
        </c:ser>
        <c:dLbls>
          <c:showLegendKey val="0"/>
          <c:showVal val="0"/>
          <c:showCatName val="0"/>
          <c:showSerName val="0"/>
          <c:showPercent val="0"/>
          <c:showBubbleSize val="0"/>
        </c:dLbls>
        <c:gapWidth val="219"/>
        <c:overlap val="-27"/>
        <c:axId val="1284076159"/>
        <c:axId val="1284076639"/>
      </c:barChart>
      <c:catAx>
        <c:axId val="12840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76639"/>
        <c:crosses val="autoZero"/>
        <c:auto val="1"/>
        <c:lblAlgn val="ctr"/>
        <c:lblOffset val="100"/>
        <c:noMultiLvlLbl val="0"/>
      </c:catAx>
      <c:valAx>
        <c:axId val="1284076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7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Region!PivotTable6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Region'!$B$3</c:f>
              <c:strCache>
                <c:ptCount val="1"/>
                <c:pt idx="0">
                  <c:v>Total</c:v>
                </c:pt>
              </c:strCache>
            </c:strRef>
          </c:tx>
          <c:spPr>
            <a:solidFill>
              <a:schemeClr val="accent1"/>
            </a:solidFill>
            <a:ln>
              <a:noFill/>
            </a:ln>
            <a:effectLst/>
          </c:spPr>
          <c:invertIfNegative val="0"/>
          <c:cat>
            <c:strRef>
              <c:f>'PT Region'!$A$4:$A$5</c:f>
              <c:strCache>
                <c:ptCount val="1"/>
                <c:pt idx="0">
                  <c:v>West</c:v>
                </c:pt>
              </c:strCache>
            </c:strRef>
          </c:cat>
          <c:val>
            <c:numRef>
              <c:f>'PT Region'!$B$4:$B$5</c:f>
              <c:numCache>
                <c:formatCode>0.00</c:formatCode>
                <c:ptCount val="1"/>
                <c:pt idx="0">
                  <c:v>1139.4299999999998</c:v>
                </c:pt>
              </c:numCache>
            </c:numRef>
          </c:val>
          <c:extLst>
            <c:ext xmlns:c16="http://schemas.microsoft.com/office/drawing/2014/chart" uri="{C3380CC4-5D6E-409C-BE32-E72D297353CC}">
              <c16:uniqueId val="{00000000-02BE-444D-ABFE-9E55310CB1B1}"/>
            </c:ext>
          </c:extLst>
        </c:ser>
        <c:dLbls>
          <c:showLegendKey val="0"/>
          <c:showVal val="0"/>
          <c:showCatName val="0"/>
          <c:showSerName val="0"/>
          <c:showPercent val="0"/>
          <c:showBubbleSize val="0"/>
        </c:dLbls>
        <c:gapWidth val="219"/>
        <c:overlap val="-27"/>
        <c:axId val="1427799695"/>
        <c:axId val="1427555903"/>
      </c:barChart>
      <c:catAx>
        <c:axId val="14277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55903"/>
        <c:crosses val="autoZero"/>
        <c:auto val="1"/>
        <c:lblAlgn val="ctr"/>
        <c:lblOffset val="100"/>
        <c:noMultiLvlLbl val="0"/>
      </c:catAx>
      <c:valAx>
        <c:axId val="142755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9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TopItems!PivotTable8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Items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TopItems'!$B$3</c:f>
              <c:strCache>
                <c:ptCount val="1"/>
                <c:pt idx="0">
                  <c:v>Total</c:v>
                </c:pt>
              </c:strCache>
            </c:strRef>
          </c:tx>
          <c:spPr>
            <a:solidFill>
              <a:schemeClr val="accent1"/>
            </a:solidFill>
            <a:ln>
              <a:noFill/>
            </a:ln>
            <a:effectLst/>
          </c:spPr>
          <c:invertIfNegative val="0"/>
          <c:cat>
            <c:strRef>
              <c:f>'PT TopItems'!$A$4:$A$7</c:f>
              <c:strCache>
                <c:ptCount val="3"/>
                <c:pt idx="0">
                  <c:v>Binder</c:v>
                </c:pt>
                <c:pt idx="1">
                  <c:v>Pen Set</c:v>
                </c:pt>
                <c:pt idx="2">
                  <c:v>Pencil</c:v>
                </c:pt>
              </c:strCache>
            </c:strRef>
          </c:cat>
          <c:val>
            <c:numRef>
              <c:f>'PT TopItems'!$B$4:$B$7</c:f>
              <c:numCache>
                <c:formatCode>0.00</c:formatCode>
                <c:ptCount val="3"/>
                <c:pt idx="0">
                  <c:v>9577.65</c:v>
                </c:pt>
                <c:pt idx="1">
                  <c:v>4169.87</c:v>
                </c:pt>
                <c:pt idx="2">
                  <c:v>2135.1400000000003</c:v>
                </c:pt>
              </c:numCache>
            </c:numRef>
          </c:val>
          <c:extLst>
            <c:ext xmlns:c16="http://schemas.microsoft.com/office/drawing/2014/chart" uri="{C3380CC4-5D6E-409C-BE32-E72D297353CC}">
              <c16:uniqueId val="{00000000-D97A-4E35-ACD9-AC77463A6EB2}"/>
            </c:ext>
          </c:extLst>
        </c:ser>
        <c:dLbls>
          <c:showLegendKey val="0"/>
          <c:showVal val="0"/>
          <c:showCatName val="0"/>
          <c:showSerName val="0"/>
          <c:showPercent val="0"/>
          <c:showBubbleSize val="0"/>
        </c:dLbls>
        <c:gapWidth val="219"/>
        <c:overlap val="-27"/>
        <c:axId val="1597925919"/>
        <c:axId val="1597923519"/>
      </c:barChart>
      <c:catAx>
        <c:axId val="15979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23519"/>
        <c:crosses val="autoZero"/>
        <c:auto val="1"/>
        <c:lblAlgn val="ctr"/>
        <c:lblOffset val="100"/>
        <c:noMultiLvlLbl val="0"/>
      </c:catAx>
      <c:valAx>
        <c:axId val="1597923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Monthly!PivotTable9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Monthly'!$B$3</c:f>
              <c:strCache>
                <c:ptCount val="1"/>
                <c:pt idx="0">
                  <c:v>Total</c:v>
                </c:pt>
              </c:strCache>
            </c:strRef>
          </c:tx>
          <c:spPr>
            <a:ln w="28575" cap="rnd">
              <a:solidFill>
                <a:schemeClr val="accent1"/>
              </a:solidFill>
              <a:round/>
            </a:ln>
            <a:effectLst/>
          </c:spPr>
          <c:marker>
            <c:symbol val="none"/>
          </c:marker>
          <c:cat>
            <c:multiLvlStrRef>
              <c:f>'PT Monthly'!$A$4:$A$18</c:f>
              <c:multiLvlStrCache>
                <c:ptCount val="12"/>
                <c:lvl>
                  <c:pt idx="0">
                    <c:v>Jan</c:v>
                  </c:pt>
                  <c:pt idx="1">
                    <c:v>Apr</c:v>
                  </c:pt>
                  <c:pt idx="2">
                    <c:v>Jun</c:v>
                  </c:pt>
                  <c:pt idx="3">
                    <c:v>Jul</c:v>
                  </c:pt>
                  <c:pt idx="4">
                    <c:v>Oct</c:v>
                  </c:pt>
                  <c:pt idx="5">
                    <c:v>Jan</c:v>
                  </c:pt>
                  <c:pt idx="6">
                    <c:v>Feb</c:v>
                  </c:pt>
                  <c:pt idx="7">
                    <c:v>Mar</c:v>
                  </c:pt>
                  <c:pt idx="8">
                    <c:v>May</c:v>
                  </c:pt>
                  <c:pt idx="9">
                    <c:v>Oct</c:v>
                  </c:pt>
                  <c:pt idx="10">
                    <c:v>Nov</c:v>
                  </c:pt>
                  <c:pt idx="11">
                    <c:v>Dec</c:v>
                  </c:pt>
                </c:lvl>
                <c:lvl>
                  <c:pt idx="0">
                    <c:v>2024</c:v>
                  </c:pt>
                  <c:pt idx="5">
                    <c:v>2025</c:v>
                  </c:pt>
                </c:lvl>
              </c:multiLvlStrCache>
            </c:multiLvlStrRef>
          </c:cat>
          <c:val>
            <c:numRef>
              <c:f>'PT Monthly'!$B$4:$B$18</c:f>
              <c:numCache>
                <c:formatCode>0.00</c:formatCode>
                <c:ptCount val="12"/>
                <c:pt idx="0">
                  <c:v>999.49999999999989</c:v>
                </c:pt>
                <c:pt idx="1">
                  <c:v>299.40000000000003</c:v>
                </c:pt>
                <c:pt idx="2">
                  <c:v>539.4</c:v>
                </c:pt>
                <c:pt idx="3">
                  <c:v>1676.8999999999999</c:v>
                </c:pt>
                <c:pt idx="4">
                  <c:v>251.72</c:v>
                </c:pt>
                <c:pt idx="5">
                  <c:v>413.54</c:v>
                </c:pt>
                <c:pt idx="6">
                  <c:v>1324.96</c:v>
                </c:pt>
                <c:pt idx="7">
                  <c:v>139.92999999999998</c:v>
                </c:pt>
                <c:pt idx="8">
                  <c:v>719.2</c:v>
                </c:pt>
                <c:pt idx="9">
                  <c:v>1139.4299999999998</c:v>
                </c:pt>
                <c:pt idx="10">
                  <c:v>54.89</c:v>
                </c:pt>
                <c:pt idx="11">
                  <c:v>2018.78</c:v>
                </c:pt>
              </c:numCache>
            </c:numRef>
          </c:val>
          <c:smooth val="0"/>
          <c:extLst>
            <c:ext xmlns:c16="http://schemas.microsoft.com/office/drawing/2014/chart" uri="{C3380CC4-5D6E-409C-BE32-E72D297353CC}">
              <c16:uniqueId val="{00000000-4F11-4819-9848-30215EB4D428}"/>
            </c:ext>
          </c:extLst>
        </c:ser>
        <c:dLbls>
          <c:showLegendKey val="0"/>
          <c:showVal val="0"/>
          <c:showCatName val="0"/>
          <c:showSerName val="0"/>
          <c:showPercent val="0"/>
          <c:showBubbleSize val="0"/>
        </c:dLbls>
        <c:smooth val="0"/>
        <c:axId val="1993717983"/>
        <c:axId val="1993716543"/>
      </c:lineChart>
      <c:catAx>
        <c:axId val="19937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16543"/>
        <c:crosses val="autoZero"/>
        <c:auto val="1"/>
        <c:lblAlgn val="ctr"/>
        <c:lblOffset val="100"/>
        <c:noMultiLvlLbl val="0"/>
      </c:catAx>
      <c:valAx>
        <c:axId val="199371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17983"/>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[Sales_Dashboard.xlsx]PT Rep!PivotTable10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Rep'!$B$3</c:f>
              <c:strCache>
                <c:ptCount val="1"/>
                <c:pt idx="0">
                  <c:v>Total</c:v>
                </c:pt>
              </c:strCache>
            </c:strRef>
          </c:tx>
          <c:spPr>
            <a:solidFill>
              <a:schemeClr val="accent1"/>
            </a:solidFill>
            <a:ln>
              <a:noFill/>
            </a:ln>
            <a:effectLst/>
          </c:spPr>
          <c:invertIfNegative val="0"/>
          <c:cat>
            <c:strRef>
              <c:f>'PT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'PT Rep'!$B$4:$B$15</c:f>
              <c:numCache>
                <c:formatCode>0.00</c:formatCode>
                <c:ptCount val="11"/>
                <c:pt idx="0">
                  <c:v>438.37</c:v>
                </c:pt>
                <c:pt idx="1">
                  <c:v>1749.8700000000001</c:v>
                </c:pt>
                <c:pt idx="2">
                  <c:v>536.75</c:v>
                </c:pt>
                <c:pt idx="3">
                  <c:v>2812.19</c:v>
                </c:pt>
                <c:pt idx="4">
                  <c:v>2363.04</c:v>
                </c:pt>
                <c:pt idx="5">
                  <c:v>3109.44</c:v>
                </c:pt>
                <c:pt idx="6">
                  <c:v>1387.77</c:v>
                </c:pt>
                <c:pt idx="7">
                  <c:v>3102.2999999999997</c:v>
                </c:pt>
                <c:pt idx="8">
                  <c:v>1641.43</c:v>
                </c:pt>
                <c:pt idx="9">
                  <c:v>1283.6099999999999</c:v>
                </c:pt>
                <c:pt idx="10">
                  <c:v>1203.1099999999999</c:v>
                </c:pt>
              </c:numCache>
            </c:numRef>
          </c:val>
          <c:extLst>
            <c:ext xmlns:c16="http://schemas.microsoft.com/office/drawing/2014/chart" uri="{C3380CC4-5D6E-409C-BE32-E72D297353CC}">
              <c16:uniqueId val="{00000000-9C80-40C7-B06E-37ED1894F144}"/>
            </c:ext>
          </c:extLst>
        </c:ser>
        <c:dLbls>
          <c:showLegendKey val="0"/>
          <c:showVal val="0"/>
          <c:showCatName val="0"/>
          <c:showSerName val="0"/>
          <c:showPercent val="0"/>
          <c:showBubbleSize val="0"/>
        </c:dLbls>
        <c:gapWidth val="219"/>
        <c:overlap val="-27"/>
        <c:axId val="1284076159"/>
        <c:axId val="1284076639"/>
      </c:barChart>
      <c:catAx>
        <c:axId val="12840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76639"/>
        <c:crosses val="autoZero"/>
        <c:auto val="1"/>
        <c:lblAlgn val="ctr"/>
        <c:lblOffset val="100"/>
        <c:noMultiLvlLbl val="0"/>
      </c:catAx>
      <c:valAx>
        <c:axId val="1284076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7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ontexture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0</xdr:rowOff>
    </xdr:from>
    <xdr:to>
      <xdr:col>2</xdr:col>
      <xdr:colOff>1076801</xdr:colOff>
      <xdr:row>2</xdr:row>
      <xdr:rowOff>89380</xdr:rowOff>
    </xdr:to>
    <xdr:pic>
      <xdr:nvPicPr>
        <xdr:cNvPr id="3" name="Picture 2" descr="A black background with red and blue lights&#10;&#10;Description automatically generated">
          <a:hlinkClick xmlns:r="http://schemas.openxmlformats.org/officeDocument/2006/relationships" r:id="rId1"/>
          <a:extLst>
            <a:ext uri="{FF2B5EF4-FFF2-40B4-BE49-F238E27FC236}">
              <a16:creationId xmlns:a16="http://schemas.microsoft.com/office/drawing/2014/main" id="{B064ECEE-B190-40C1-B51D-8A988F1054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 y="95250"/>
          <a:ext cx="1972151" cy="3275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4</xdr:col>
      <xdr:colOff>234950</xdr:colOff>
      <xdr:row>17</xdr:row>
      <xdr:rowOff>158750</xdr:rowOff>
    </xdr:to>
    <xdr:graphicFrame macro="">
      <xdr:nvGraphicFramePr>
        <xdr:cNvPr id="2" name="Chart 1">
          <a:extLst>
            <a:ext uri="{FF2B5EF4-FFF2-40B4-BE49-F238E27FC236}">
              <a16:creationId xmlns:a16="http://schemas.microsoft.com/office/drawing/2014/main" id="{DF62C755-CE94-4585-9085-B35182C75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xdr:row>
      <xdr:rowOff>0</xdr:rowOff>
    </xdr:from>
    <xdr:to>
      <xdr:col>10</xdr:col>
      <xdr:colOff>508000</xdr:colOff>
      <xdr:row>17</xdr:row>
      <xdr:rowOff>158750</xdr:rowOff>
    </xdr:to>
    <xdr:graphicFrame macro="">
      <xdr:nvGraphicFramePr>
        <xdr:cNvPr id="3" name="Chart 2">
          <a:extLst>
            <a:ext uri="{FF2B5EF4-FFF2-40B4-BE49-F238E27FC236}">
              <a16:creationId xmlns:a16="http://schemas.microsoft.com/office/drawing/2014/main" id="{E2B9B4C1-3F2D-412C-AEBC-D583FB2EB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4</xdr:col>
      <xdr:colOff>234950</xdr:colOff>
      <xdr:row>31</xdr:row>
      <xdr:rowOff>158750</xdr:rowOff>
    </xdr:to>
    <xdr:graphicFrame macro="">
      <xdr:nvGraphicFramePr>
        <xdr:cNvPr id="4" name="Chart 3">
          <a:extLst>
            <a:ext uri="{FF2B5EF4-FFF2-40B4-BE49-F238E27FC236}">
              <a16:creationId xmlns:a16="http://schemas.microsoft.com/office/drawing/2014/main" id="{47791FDF-C65D-428F-9AD5-EBB4C0543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20</xdr:row>
      <xdr:rowOff>0</xdr:rowOff>
    </xdr:from>
    <xdr:to>
      <xdr:col>10</xdr:col>
      <xdr:colOff>508000</xdr:colOff>
      <xdr:row>31</xdr:row>
      <xdr:rowOff>158750</xdr:rowOff>
    </xdr:to>
    <xdr:graphicFrame macro="">
      <xdr:nvGraphicFramePr>
        <xdr:cNvPr id="5" name="Chart 4">
          <a:extLst>
            <a:ext uri="{FF2B5EF4-FFF2-40B4-BE49-F238E27FC236}">
              <a16:creationId xmlns:a16="http://schemas.microsoft.com/office/drawing/2014/main" id="{16855CBB-65E7-445B-9525-8B5A5D204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32</xdr:row>
      <xdr:rowOff>215900</xdr:rowOff>
    </xdr:from>
    <xdr:to>
      <xdr:col>7</xdr:col>
      <xdr:colOff>203200</xdr:colOff>
      <xdr:row>46</xdr:row>
      <xdr:rowOff>22225</xdr:rowOff>
    </xdr:to>
    <mc:AlternateContent xmlns:mc="http://schemas.openxmlformats.org/markup-compatibility/2006" xmlns:a14="http://schemas.microsoft.com/office/drawing/2010/main">
      <mc:Choice Requires="a14">
        <xdr:graphicFrame macro="">
          <xdr:nvGraphicFramePr>
            <xdr:cNvPr id="6" name="Rep">
              <a:extLst>
                <a:ext uri="{FF2B5EF4-FFF2-40B4-BE49-F238E27FC236}">
                  <a16:creationId xmlns:a16="http://schemas.microsoft.com/office/drawing/2014/main" id="{70F41D90-58FE-4202-81FB-0911C43000AA}"/>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mlns="">
        <xdr:sp macro="" textlink="">
          <xdr:nvSpPr>
            <xdr:cNvPr id="0" name=""/>
            <xdr:cNvSpPr>
              <a:spLocks noTextEdit="1"/>
            </xdr:cNvSpPr>
          </xdr:nvSpPr>
          <xdr:spPr>
            <a:xfrm>
              <a:off x="5530850" y="7956550"/>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33</xdr:row>
      <xdr:rowOff>0</xdr:rowOff>
    </xdr:from>
    <xdr:to>
      <xdr:col>3</xdr:col>
      <xdr:colOff>304800</xdr:colOff>
      <xdr:row>46</xdr:row>
      <xdr:rowOff>41275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6BE649D-2088-479E-84B4-D29BFDF55D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81250" y="7975600"/>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0</xdr:rowOff>
    </xdr:from>
    <xdr:to>
      <xdr:col>1</xdr:col>
      <xdr:colOff>850900</xdr:colOff>
      <xdr:row>46</xdr:row>
      <xdr:rowOff>41275</xdr:rowOff>
    </xdr:to>
    <mc:AlternateContent xmlns:mc="http://schemas.openxmlformats.org/markup-compatibility/2006" xmlns:a14="http://schemas.microsoft.com/office/drawing/2010/main">
      <mc:Choice Requires="a14">
        <xdr:graphicFrame macro="">
          <xdr:nvGraphicFramePr>
            <xdr:cNvPr id="8" name="Item">
              <a:extLst>
                <a:ext uri="{FF2B5EF4-FFF2-40B4-BE49-F238E27FC236}">
                  <a16:creationId xmlns:a16="http://schemas.microsoft.com/office/drawing/2014/main" id="{4A17B6AE-4C73-4649-8C65-0577F552392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7975600"/>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787400</xdr:colOff>
      <xdr:row>1</xdr:row>
      <xdr:rowOff>190500</xdr:rowOff>
    </xdr:from>
    <xdr:to>
      <xdr:col>9</xdr:col>
      <xdr:colOff>482600</xdr:colOff>
      <xdr:row>13</xdr:row>
      <xdr:rowOff>114300</xdr:rowOff>
    </xdr:to>
    <xdr:graphicFrame macro="">
      <xdr:nvGraphicFramePr>
        <xdr:cNvPr id="2" name="Chart 1">
          <a:extLst>
            <a:ext uri="{FF2B5EF4-FFF2-40B4-BE49-F238E27FC236}">
              <a16:creationId xmlns:a16="http://schemas.microsoft.com/office/drawing/2014/main" id="{162D56E6-5BF1-4BFA-2191-9AA8EBA81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673100</xdr:colOff>
      <xdr:row>1</xdr:row>
      <xdr:rowOff>190500</xdr:rowOff>
    </xdr:from>
    <xdr:to>
      <xdr:col>9</xdr:col>
      <xdr:colOff>368300</xdr:colOff>
      <xdr:row>13</xdr:row>
      <xdr:rowOff>114300</xdr:rowOff>
    </xdr:to>
    <xdr:graphicFrame macro="">
      <xdr:nvGraphicFramePr>
        <xdr:cNvPr id="3" name="Chart 2">
          <a:extLst>
            <a:ext uri="{FF2B5EF4-FFF2-40B4-BE49-F238E27FC236}">
              <a16:creationId xmlns:a16="http://schemas.microsoft.com/office/drawing/2014/main" id="{DB4D66C2-CDB5-3960-26F4-7FBE6E523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673100</xdr:colOff>
      <xdr:row>1</xdr:row>
      <xdr:rowOff>190500</xdr:rowOff>
    </xdr:from>
    <xdr:to>
      <xdr:col>9</xdr:col>
      <xdr:colOff>368300</xdr:colOff>
      <xdr:row>13</xdr:row>
      <xdr:rowOff>114300</xdr:rowOff>
    </xdr:to>
    <xdr:graphicFrame macro="">
      <xdr:nvGraphicFramePr>
        <xdr:cNvPr id="2" name="Chart 1">
          <a:extLst>
            <a:ext uri="{FF2B5EF4-FFF2-40B4-BE49-F238E27FC236}">
              <a16:creationId xmlns:a16="http://schemas.microsoft.com/office/drawing/2014/main" id="{B10C30C4-5FC9-5AE6-45A9-B12F49435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673100</xdr:colOff>
      <xdr:row>1</xdr:row>
      <xdr:rowOff>190500</xdr:rowOff>
    </xdr:from>
    <xdr:to>
      <xdr:col>9</xdr:col>
      <xdr:colOff>368300</xdr:colOff>
      <xdr:row>13</xdr:row>
      <xdr:rowOff>114300</xdr:rowOff>
    </xdr:to>
    <xdr:graphicFrame macro="">
      <xdr:nvGraphicFramePr>
        <xdr:cNvPr id="2" name="Chart 1">
          <a:extLst>
            <a:ext uri="{FF2B5EF4-FFF2-40B4-BE49-F238E27FC236}">
              <a16:creationId xmlns:a16="http://schemas.microsoft.com/office/drawing/2014/main" id="{B4E9F16F-CD56-8AFF-7D1A-A9C4D4FF4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uddhi Shahane" refreshedDate="46007.808674189815" createdVersion="8" refreshedVersion="8" minRefreshableVersion="3" recordCount="43" xr:uid="{BF14CB3C-8846-4FC6-B088-08CD38686A41}">
  <cacheSource type="worksheet">
    <worksheetSource name="SalesData"/>
  </cacheSource>
  <cacheFields count="10">
    <cacheField name="OrderDate" numFmtId="14">
      <sharedItems containsSemiMixedTypes="0" containsNonDate="0" containsDate="1" containsString="0" minDate="2024-01-06T00:00:00" maxDate="2025-12-22T00:00:00" count="43">
        <d v="2024-01-06T00:00:00"/>
        <d v="2024-01-23T00:00:00"/>
        <d v="2024-02-09T00:00:00"/>
        <d v="2024-02-26T00:00:00"/>
        <d v="2024-03-15T00:00:00"/>
        <d v="2024-04-01T00:00:00"/>
        <d v="2024-04-18T00:00:00"/>
        <d v="2024-05-05T00:00:00"/>
        <d v="2024-05-22T00:00:00"/>
        <d v="2024-06-08T00:00:00"/>
        <d v="2024-06-25T00:00:00"/>
        <d v="2024-07-12T00:00:00"/>
        <d v="2024-07-29T00:00:00"/>
        <d v="2024-08-15T00:00:00"/>
        <d v="2024-09-01T00:00:00"/>
        <d v="2024-09-18T00:00:00"/>
        <d v="2024-10-05T00:00:00"/>
        <d v="2024-10-22T00:00:00"/>
        <d v="2024-11-08T00:00:00"/>
        <d v="2024-11-25T00:00:00"/>
        <d v="2024-12-12T00:00:00"/>
        <d v="2024-12-29T00:00:00"/>
        <d v="2025-01-15T00:00:00"/>
        <d v="2025-02-01T00:00:00"/>
        <d v="2025-02-18T00:00:00"/>
        <d v="2025-03-07T00:00:00"/>
        <d v="2025-03-24T00:00:00"/>
        <d v="2025-04-10T00:00:00"/>
        <d v="2025-04-27T00:00:00"/>
        <d v="2025-05-14T00:00:00"/>
        <d v="2025-05-31T00:00:00"/>
        <d v="2025-06-17T00:00:00"/>
        <d v="2025-07-04T00:00:00"/>
        <d v="2025-07-21T00:00:00"/>
        <d v="2025-08-07T00:00:00"/>
        <d v="2025-08-24T00:00:00"/>
        <d v="2025-09-10T00:00:00"/>
        <d v="2025-09-27T00:00:00"/>
        <d v="2025-10-14T00:00:00"/>
        <d v="2025-10-31T00:00:00"/>
        <d v="2025-11-17T00:00:00"/>
        <d v="2025-12-04T00:00:00"/>
        <d v="2025-12-21T00:00:00"/>
      </sharedItems>
      <fieldGroup par="8"/>
    </cacheField>
    <cacheField name="Region" numFmtId="0">
      <sharedItems count="3">
        <s v="East"/>
        <s v="Central"/>
        <s v="West"/>
      </sharedItems>
    </cacheField>
    <cacheField name="Rep" numFmtId="0">
      <sharedItems count="11">
        <s v="Jones"/>
        <s v="Kivell"/>
        <s v="Jardine"/>
        <s v="Gill"/>
        <s v="Sorvino"/>
        <s v="Andrews"/>
        <s v="Thompson"/>
        <s v="Morgan"/>
        <s v="Howard"/>
        <s v="Parent"/>
        <s v="Smith"/>
      </sharedItems>
    </cacheField>
    <cacheField name="Item" numFmtId="0">
      <sharedItems count="5">
        <s v="Pencil"/>
        <s v="Binder"/>
        <s v="Pen"/>
        <s v="Desk"/>
        <s v="Pen Set"/>
      </sharedItems>
    </cacheField>
    <cacheField name="Units" numFmtId="1">
      <sharedItems containsSemiMixedTypes="0" containsString="0" containsNumber="1" containsInteger="1" minValue="2" maxValue="96"/>
    </cacheField>
    <cacheField name="Unit Cost" numFmtId="4">
      <sharedItems containsSemiMixedTypes="0" containsString="0" containsNumber="1" minValue="1.29" maxValue="275"/>
    </cacheField>
    <cacheField name="Total" numFmtId="2">
      <sharedItems containsSemiMixedTypes="0" containsString="0" containsNumber="1" minValue="9.0300000000000011" maxValue="1879.06" count="41">
        <n v="189.05"/>
        <n v="999.49999999999989"/>
        <n v="179.64000000000001"/>
        <n v="539.7299999999999"/>
        <n v="167.44"/>
        <n v="299.40000000000003"/>
        <n v="149.25"/>
        <n v="449.1"/>
        <n v="63.68"/>
        <n v="539.4"/>
        <n v="57.71"/>
        <n v="1619.1899999999998"/>
        <n v="174.65"/>
        <n v="250"/>
        <n v="255.84"/>
        <n v="251.72"/>
        <n v="575.36"/>
        <n v="299.84999999999997"/>
        <n v="479.04"/>
        <n v="86.43"/>
        <n v="1183.26"/>
        <n v="413.54"/>
        <n v="1305"/>
        <n v="19.96"/>
        <n v="139.92999999999998"/>
        <n v="249.5"/>
        <n v="131.34"/>
        <n v="68.37"/>
        <n v="719.2"/>
        <n v="625"/>
        <n v="309.38"/>
        <n v="686.95"/>
        <n v="1005.9"/>
        <n v="825"/>
        <n v="9.0300000000000011"/>
        <n v="151.24"/>
        <n v="1139.4299999999998"/>
        <n v="18.060000000000002"/>
        <n v="54.89"/>
        <n v="1879.06"/>
        <n v="139.72"/>
      </sharedItems>
    </cacheField>
    <cacheField name="Months (OrderDate)" numFmtId="0" databaseField="0">
      <fieldGroup base="0">
        <rangePr groupBy="months" startDate="2024-01-06T00:00:00" endDate="2025-12-22T00:00:00"/>
        <groupItems count="14">
          <s v="&lt;1/6/2024"/>
          <s v="Jan"/>
          <s v="Feb"/>
          <s v="Mar"/>
          <s v="Apr"/>
          <s v="May"/>
          <s v="Jun"/>
          <s v="Jul"/>
          <s v="Aug"/>
          <s v="Sep"/>
          <s v="Oct"/>
          <s v="Nov"/>
          <s v="Dec"/>
          <s v="&gt;12/22/2025"/>
        </groupItems>
      </fieldGroup>
    </cacheField>
    <cacheField name="Years (OrderDate)" numFmtId="0" databaseField="0">
      <fieldGroup base="0">
        <rangePr groupBy="years" startDate="2024-01-06T00:00:00" endDate="2025-12-22T00:00:00"/>
        <groupItems count="4">
          <s v="&lt;1/6/2024"/>
          <s v="2024"/>
          <s v="2025"/>
          <s v="&gt;12/22/2025"/>
        </groupItems>
      </fieldGroup>
    </cacheField>
    <cacheField name="Field1" numFmtId="0" formula=" 0" databaseField="0"/>
  </cacheFields>
  <extLst>
    <ext xmlns:x14="http://schemas.microsoft.com/office/spreadsheetml/2009/9/main" uri="{725AE2AE-9491-48be-B2B4-4EB974FC3084}">
      <x14:pivotCacheDefinition pivotCacheId="2003297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n v="95"/>
    <n v="1.99"/>
    <x v="0"/>
  </r>
  <r>
    <x v="1"/>
    <x v="1"/>
    <x v="1"/>
    <x v="1"/>
    <n v="50"/>
    <n v="19.989999999999998"/>
    <x v="1"/>
  </r>
  <r>
    <x v="2"/>
    <x v="1"/>
    <x v="2"/>
    <x v="0"/>
    <n v="36"/>
    <n v="4.99"/>
    <x v="2"/>
  </r>
  <r>
    <x v="3"/>
    <x v="1"/>
    <x v="3"/>
    <x v="2"/>
    <n v="27"/>
    <n v="19.989999999999998"/>
    <x v="3"/>
  </r>
  <r>
    <x v="4"/>
    <x v="2"/>
    <x v="4"/>
    <x v="0"/>
    <n v="56"/>
    <n v="2.99"/>
    <x v="4"/>
  </r>
  <r>
    <x v="5"/>
    <x v="0"/>
    <x v="0"/>
    <x v="1"/>
    <n v="60"/>
    <n v="4.99"/>
    <x v="5"/>
  </r>
  <r>
    <x v="6"/>
    <x v="1"/>
    <x v="5"/>
    <x v="0"/>
    <n v="75"/>
    <n v="1.99"/>
    <x v="6"/>
  </r>
  <r>
    <x v="7"/>
    <x v="1"/>
    <x v="2"/>
    <x v="0"/>
    <n v="90"/>
    <n v="4.99"/>
    <x v="7"/>
  </r>
  <r>
    <x v="8"/>
    <x v="2"/>
    <x v="6"/>
    <x v="0"/>
    <n v="32"/>
    <n v="1.99"/>
    <x v="8"/>
  </r>
  <r>
    <x v="9"/>
    <x v="0"/>
    <x v="0"/>
    <x v="1"/>
    <n v="60"/>
    <n v="8.99"/>
    <x v="9"/>
  </r>
  <r>
    <x v="10"/>
    <x v="1"/>
    <x v="7"/>
    <x v="0"/>
    <n v="90"/>
    <n v="4.99"/>
    <x v="7"/>
  </r>
  <r>
    <x v="11"/>
    <x v="0"/>
    <x v="8"/>
    <x v="1"/>
    <n v="29"/>
    <n v="1.99"/>
    <x v="10"/>
  </r>
  <r>
    <x v="12"/>
    <x v="0"/>
    <x v="9"/>
    <x v="1"/>
    <n v="81"/>
    <n v="19.989999999999998"/>
    <x v="11"/>
  </r>
  <r>
    <x v="13"/>
    <x v="0"/>
    <x v="0"/>
    <x v="0"/>
    <n v="35"/>
    <n v="4.99"/>
    <x v="12"/>
  </r>
  <r>
    <x v="14"/>
    <x v="1"/>
    <x v="10"/>
    <x v="3"/>
    <n v="2"/>
    <n v="125"/>
    <x v="13"/>
  </r>
  <r>
    <x v="15"/>
    <x v="0"/>
    <x v="0"/>
    <x v="4"/>
    <n v="16"/>
    <n v="15.99"/>
    <x v="14"/>
  </r>
  <r>
    <x v="16"/>
    <x v="1"/>
    <x v="7"/>
    <x v="1"/>
    <n v="28"/>
    <n v="8.99"/>
    <x v="15"/>
  </r>
  <r>
    <x v="17"/>
    <x v="0"/>
    <x v="0"/>
    <x v="2"/>
    <n v="64"/>
    <n v="8.99"/>
    <x v="16"/>
  </r>
  <r>
    <x v="18"/>
    <x v="0"/>
    <x v="9"/>
    <x v="2"/>
    <n v="15"/>
    <n v="19.989999999999998"/>
    <x v="17"/>
  </r>
  <r>
    <x v="19"/>
    <x v="1"/>
    <x v="1"/>
    <x v="4"/>
    <n v="96"/>
    <n v="4.99"/>
    <x v="18"/>
  </r>
  <r>
    <x v="20"/>
    <x v="1"/>
    <x v="10"/>
    <x v="0"/>
    <n v="67"/>
    <n v="1.29"/>
    <x v="19"/>
  </r>
  <r>
    <x v="21"/>
    <x v="0"/>
    <x v="9"/>
    <x v="4"/>
    <n v="74"/>
    <n v="15.99"/>
    <x v="20"/>
  </r>
  <r>
    <x v="22"/>
    <x v="1"/>
    <x v="3"/>
    <x v="1"/>
    <n v="46"/>
    <n v="8.99"/>
    <x v="21"/>
  </r>
  <r>
    <x v="23"/>
    <x v="1"/>
    <x v="10"/>
    <x v="1"/>
    <n v="87"/>
    <n v="15"/>
    <x v="22"/>
  </r>
  <r>
    <x v="24"/>
    <x v="0"/>
    <x v="0"/>
    <x v="1"/>
    <n v="4"/>
    <n v="4.99"/>
    <x v="23"/>
  </r>
  <r>
    <x v="25"/>
    <x v="2"/>
    <x v="4"/>
    <x v="1"/>
    <n v="7"/>
    <n v="19.989999999999998"/>
    <x v="24"/>
  </r>
  <r>
    <x v="26"/>
    <x v="1"/>
    <x v="2"/>
    <x v="4"/>
    <n v="50"/>
    <n v="4.99"/>
    <x v="25"/>
  </r>
  <r>
    <x v="27"/>
    <x v="1"/>
    <x v="5"/>
    <x v="0"/>
    <n v="66"/>
    <n v="1.99"/>
    <x v="26"/>
  </r>
  <r>
    <x v="28"/>
    <x v="0"/>
    <x v="8"/>
    <x v="2"/>
    <n v="96"/>
    <n v="4.99"/>
    <x v="18"/>
  </r>
  <r>
    <x v="29"/>
    <x v="1"/>
    <x v="3"/>
    <x v="0"/>
    <n v="53"/>
    <n v="1.29"/>
    <x v="27"/>
  </r>
  <r>
    <x v="30"/>
    <x v="1"/>
    <x v="3"/>
    <x v="1"/>
    <n v="80"/>
    <n v="8.99"/>
    <x v="28"/>
  </r>
  <r>
    <x v="31"/>
    <x v="1"/>
    <x v="1"/>
    <x v="3"/>
    <n v="5"/>
    <n v="125"/>
    <x v="29"/>
  </r>
  <r>
    <x v="32"/>
    <x v="0"/>
    <x v="0"/>
    <x v="4"/>
    <n v="62"/>
    <n v="4.99"/>
    <x v="30"/>
  </r>
  <r>
    <x v="33"/>
    <x v="1"/>
    <x v="7"/>
    <x v="4"/>
    <n v="55"/>
    <n v="12.49"/>
    <x v="31"/>
  </r>
  <r>
    <x v="34"/>
    <x v="1"/>
    <x v="1"/>
    <x v="4"/>
    <n v="42"/>
    <n v="23.95"/>
    <x v="32"/>
  </r>
  <r>
    <x v="35"/>
    <x v="2"/>
    <x v="4"/>
    <x v="3"/>
    <n v="3"/>
    <n v="275"/>
    <x v="33"/>
  </r>
  <r>
    <x v="36"/>
    <x v="1"/>
    <x v="3"/>
    <x v="0"/>
    <n v="7"/>
    <n v="1.29"/>
    <x v="34"/>
  </r>
  <r>
    <x v="37"/>
    <x v="2"/>
    <x v="4"/>
    <x v="2"/>
    <n v="76"/>
    <n v="1.99"/>
    <x v="35"/>
  </r>
  <r>
    <x v="38"/>
    <x v="2"/>
    <x v="6"/>
    <x v="1"/>
    <n v="57"/>
    <n v="19.989999999999998"/>
    <x v="36"/>
  </r>
  <r>
    <x v="39"/>
    <x v="1"/>
    <x v="5"/>
    <x v="0"/>
    <n v="14"/>
    <n v="1.29"/>
    <x v="37"/>
  </r>
  <r>
    <x v="40"/>
    <x v="1"/>
    <x v="2"/>
    <x v="1"/>
    <n v="11"/>
    <n v="4.99"/>
    <x v="38"/>
  </r>
  <r>
    <x v="41"/>
    <x v="1"/>
    <x v="2"/>
    <x v="1"/>
    <n v="94"/>
    <n v="19.989999999999998"/>
    <x v="39"/>
  </r>
  <r>
    <x v="42"/>
    <x v="1"/>
    <x v="5"/>
    <x v="1"/>
    <n v="28"/>
    <n v="4.99"/>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DF7EC2-4E82-4455-83D2-974CBA90B76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items count="6">
        <item x="1"/>
        <item h="1" x="3"/>
        <item h="1" x="2"/>
        <item h="1" x="4"/>
        <item h="1" x="0"/>
        <item t="default"/>
      </items>
    </pivotField>
    <pivotField dataField="1" numFmtId="1" showAll="0"/>
    <pivotField numFmtId="4" showAll="0"/>
    <pivotField numFmtId="2" showAl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Total Units Sold" fld="4" baseField="0" baseItem="0" numFmtId="1"/>
  </dataFields>
  <formats count="23">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6FD1C-4156-4FE6-8B63-17D0597CB59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items count="6">
        <item x="1"/>
        <item h="1" x="3"/>
        <item h="1" x="2"/>
        <item h="1" x="4"/>
        <item h="1" x="0"/>
        <item t="default"/>
      </items>
    </pivotField>
    <pivotField numFmtId="1" showAll="0"/>
    <pivotField numFmtId="4" showAll="0"/>
    <pivotField dataField="1" numFmtId="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Total Sales" fld="6" baseField="0" baseItem="0" numFmtId="2"/>
  </dataFields>
  <formats count="23">
    <format dxfId="51">
      <pivotArea type="all" dataOnly="0" outline="0"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A574B9-BCF3-4915-9BBF-661424CE92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numFmtId="1" showAll="0"/>
    <pivotField numFmtId="4" showAll="0"/>
    <pivotField dataField="1" numFmtId="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Sum of Total"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117D7E-0885-4A36-AAD7-2545EBBCDE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5" firstHeaderRow="1" firstDataRow="1" firstDataCol="1"/>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4">
        <item h="1" x="1"/>
        <item h="1" x="0"/>
        <item x="2"/>
        <item t="default"/>
      </items>
    </pivotField>
    <pivotField showAll="0">
      <items count="12">
        <item h="1" x="5"/>
        <item h="1" x="3"/>
        <item h="1" x="8"/>
        <item h="1" x="2"/>
        <item h="1" x="0"/>
        <item h="1" x="1"/>
        <item h="1" x="7"/>
        <item h="1" x="9"/>
        <item h="1" x="10"/>
        <item h="1" x="4"/>
        <item x="6"/>
        <item t="default"/>
      </items>
    </pivotField>
    <pivotField showAll="0">
      <items count="6">
        <item x="1"/>
        <item h="1" x="3"/>
        <item h="1" x="2"/>
        <item h="1" x="4"/>
        <item h="1" x="0"/>
        <item t="default"/>
      </items>
    </pivotField>
    <pivotField numFmtId="1" showAll="0"/>
    <pivotField numFmtId="4" showAll="0"/>
    <pivotField dataField="1" numFmtId="2" showAll="0">
      <items count="42">
        <item x="34"/>
        <item x="37"/>
        <item x="23"/>
        <item x="38"/>
        <item x="10"/>
        <item x="8"/>
        <item x="27"/>
        <item x="19"/>
        <item x="26"/>
        <item x="40"/>
        <item x="24"/>
        <item x="6"/>
        <item x="35"/>
        <item x="4"/>
        <item x="12"/>
        <item x="2"/>
        <item x="0"/>
        <item x="25"/>
        <item x="13"/>
        <item x="15"/>
        <item x="14"/>
        <item x="5"/>
        <item x="17"/>
        <item x="30"/>
        <item x="21"/>
        <item x="7"/>
        <item x="18"/>
        <item x="9"/>
        <item x="3"/>
        <item x="16"/>
        <item x="29"/>
        <item x="31"/>
        <item x="28"/>
        <item x="33"/>
        <item x="1"/>
        <item x="32"/>
        <item x="36"/>
        <item x="20"/>
        <item x="22"/>
        <item x="11"/>
        <item x="3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1"/>
  </rowFields>
  <rowItems count="2">
    <i>
      <x v="2"/>
    </i>
    <i t="grand">
      <x/>
    </i>
  </rowItems>
  <colItems count="1">
    <i/>
  </colItems>
  <dataFields count="1">
    <dataField name="Sum of Total" fld="6" baseField="0" baseItem="0" numFmtId="2"/>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DD8F6-ABEF-4619-891E-BD49C917C0B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axis="axisRow" showAll="0" measureFilter="1"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numFmtId="1" showAll="0"/>
    <pivotField numFmtId="4" showAll="0"/>
    <pivotField dataField="1" numFmtId="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3"/>
  </rowFields>
  <rowItems count="4">
    <i>
      <x/>
    </i>
    <i>
      <x v="3"/>
    </i>
    <i>
      <x v="4"/>
    </i>
    <i t="grand">
      <x/>
    </i>
  </rowItems>
  <colItems count="1">
    <i/>
  </colItems>
  <dataFields count="1">
    <dataField name="Sum of Total" fld="6" baseField="3" baseItem="0" numFmtId="2"/>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0066ED-4B55-4DE5-B7D0-A0C2E24FE32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dataField="1" numFmtId="1" showAll="0"/>
    <pivotField numFmtId="4" showAll="0"/>
    <pivotField numFmtId="2" showAl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Sum of Units"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A4BCFD-9DCD-4B56-B289-4180337FE1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8" firstHeaderRow="1" firstDataRow="1" firstDataCol="1"/>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items count="6">
        <item x="1"/>
        <item h="1" x="3"/>
        <item h="1" x="2"/>
        <item h="1" x="4"/>
        <item h="1" x="0"/>
        <item t="default"/>
      </items>
    </pivotField>
    <pivotField numFmtId="1" showAll="0"/>
    <pivotField numFmtId="4" showAll="0"/>
    <pivotField dataField="1" numFmtId="2"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2">
    <field x="8"/>
    <field x="7"/>
  </rowFields>
  <rowItems count="15">
    <i>
      <x v="1"/>
    </i>
    <i r="1">
      <x v="1"/>
    </i>
    <i r="1">
      <x v="4"/>
    </i>
    <i r="1">
      <x v="6"/>
    </i>
    <i r="1">
      <x v="7"/>
    </i>
    <i r="1">
      <x v="10"/>
    </i>
    <i>
      <x v="2"/>
    </i>
    <i r="1">
      <x v="1"/>
    </i>
    <i r="1">
      <x v="2"/>
    </i>
    <i r="1">
      <x v="3"/>
    </i>
    <i r="1">
      <x v="5"/>
    </i>
    <i r="1">
      <x v="10"/>
    </i>
    <i r="1">
      <x v="11"/>
    </i>
    <i r="1">
      <x v="12"/>
    </i>
    <i t="grand">
      <x/>
    </i>
  </rowItems>
  <colItems count="1">
    <i/>
  </colItems>
  <dataFields count="1">
    <dataField name="Sum of Total" fld="6" baseField="0" baseItem="0" numFmtId="2"/>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50566A-8E47-4C97-BA97-27E51B7EC9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0">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axis="axisRow" showAll="0">
      <items count="12">
        <item x="5"/>
        <item x="3"/>
        <item x="8"/>
        <item x="2"/>
        <item x="0"/>
        <item x="1"/>
        <item x="7"/>
        <item x="9"/>
        <item x="10"/>
        <item x="4"/>
        <item x="6"/>
        <item t="default"/>
      </items>
    </pivotField>
    <pivotField showAll="0"/>
    <pivotField numFmtId="1" showAll="0"/>
    <pivotField numFmtId="4" showAll="0"/>
    <pivotField dataField="1" numFmtId="2" showAll="0"/>
    <pivotField showAll="0" defaultSubtotal="0"/>
    <pivotField showAll="0" defaultSubtotal="0">
      <items count="4">
        <item x="0"/>
        <item x="1"/>
        <item x="2"/>
        <item x="3"/>
      </items>
    </pivotField>
    <pivotField dragToRow="0" dragToCol="0" dragToPage="0" showAll="0" defaultSubtotal="0"/>
  </pivotFields>
  <rowFields count="1">
    <field x="2"/>
  </rowFields>
  <rowItems count="12">
    <i>
      <x/>
    </i>
    <i>
      <x v="1"/>
    </i>
    <i>
      <x v="2"/>
    </i>
    <i>
      <x v="3"/>
    </i>
    <i>
      <x v="4"/>
    </i>
    <i>
      <x v="5"/>
    </i>
    <i>
      <x v="6"/>
    </i>
    <i>
      <x v="7"/>
    </i>
    <i>
      <x v="8"/>
    </i>
    <i>
      <x v="9"/>
    </i>
    <i>
      <x v="10"/>
    </i>
    <i t="grand">
      <x/>
    </i>
  </rowItems>
  <colItems count="1">
    <i/>
  </colItems>
  <dataFields count="1">
    <dataField name="Sum of Total" fld="6"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4123F99D-7982-428F-95B7-21D57FC6F20F}" sourceName="Rep">
  <pivotTables>
    <pivotTable tabId="18" name="PivotTable6"/>
  </pivotTables>
  <data>
    <tabular pivotCacheId="2003297450">
      <items count="11">
        <i x="4"/>
        <i x="6" s="1"/>
        <i x="5" nd="1"/>
        <i x="3" nd="1"/>
        <i x="8" nd="1"/>
        <i x="2" nd="1"/>
        <i x="0" nd="1"/>
        <i x="1" nd="1"/>
        <i x="7" nd="1"/>
        <i x="9" nd="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EAA3A6-F7A8-4944-9864-6DD1C85BDCDB}" sourceName="Region">
  <pivotTables>
    <pivotTable tabId="18" name="PivotTable6"/>
  </pivotTables>
  <data>
    <tabular pivotCacheId="2003297450">
      <items count="3">
        <i x="2" s="1"/>
        <i x="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028E690-E99B-41EB-84A2-E567560E3180}" sourceName="Item">
  <pivotTables>
    <pivotTable tabId="18" name="PivotTable6"/>
    <pivotTable tabId="23" name="PivotTable11"/>
    <pivotTable tabId="23" name="PivotTable13"/>
    <pivotTable tabId="21" name="PivotTable9"/>
  </pivotTables>
  <data>
    <tabular pivotCacheId="2003297450">
      <items count="5">
        <i x="1" s="1"/>
        <i x="3"/>
        <i x="2"/>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 xr10:uid="{CDF50EF6-2245-414C-82B1-E4B4E426827E}" cache="Slicer_Rep" caption="Rep" rowHeight="304800"/>
  <slicer name="Region" xr10:uid="{5068A427-131F-4DA7-BAD8-BC8E42472000}" cache="Slicer_Region" caption="Region" rowHeight="304800"/>
  <slicer name="Item" xr10:uid="{2F76F645-1C3D-4FC6-817B-7CCE9785D558}" cache="Slicer_Item" caption="Item"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G44" totalsRowShown="0">
  <autoFilter ref="A1:G44" xr:uid="{00000000-0009-0000-0100-000001000000}"/>
  <tableColumns count="7">
    <tableColumn id="1" xr3:uid="{00000000-0010-0000-0000-000001000000}" name="OrderDate" dataDxfId="11"/>
    <tableColumn id="2" xr3:uid="{00000000-0010-0000-0000-000002000000}" name="Region"/>
    <tableColumn id="3" xr3:uid="{00000000-0010-0000-0000-000003000000}" name="Rep"/>
    <tableColumn id="4" xr3:uid="{00000000-0010-0000-0000-000004000000}" name="Item"/>
    <tableColumn id="5" xr3:uid="{00000000-0010-0000-0000-000005000000}" name="Units" dataDxfId="10"/>
    <tableColumn id="6" xr3:uid="{00000000-0010-0000-0000-000006000000}" name="Unit Cost" dataDxfId="9"/>
    <tableColumn id="7" xr3:uid="{00000000-0010-0000-0000-000007000000}" name="Total" dataDxfId="8"/>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ntextures.com/excelsampledatafoodinfo.html" TargetMode="External"/><Relationship Id="rId13" Type="http://schemas.openxmlformats.org/officeDocument/2006/relationships/hyperlink" Target="https://www.contextures.com/excelformulatopics.html" TargetMode="External"/><Relationship Id="rId3" Type="http://schemas.openxmlformats.org/officeDocument/2006/relationships/hyperlink" Target="https://www.contextures.com/excelvlookupexamples.html" TargetMode="External"/><Relationship Id="rId7" Type="http://schemas.openxmlformats.org/officeDocument/2006/relationships/hyperlink" Target="https://www.contextures.com/excelsampledatainsurance.html" TargetMode="External"/><Relationship Id="rId12" Type="http://schemas.openxmlformats.org/officeDocument/2006/relationships/hyperlink" Target="https://www.contextures.com/excelpivottablesetup.html" TargetMode="External"/><Relationship Id="rId2" Type="http://schemas.openxmlformats.org/officeDocument/2006/relationships/hyperlink" Target="https://www.contextures.com/xlExcelTable01.html" TargetMode="External"/><Relationship Id="rId1" Type="http://schemas.openxmlformats.org/officeDocument/2006/relationships/hyperlink" Target="https://www.contextures.com/xlSampleData01.html" TargetMode="External"/><Relationship Id="rId6" Type="http://schemas.openxmlformats.org/officeDocument/2006/relationships/hyperlink" Target="https://www.contextures.com/excelsampledataworkorders.html" TargetMode="External"/><Relationship Id="rId11" Type="http://schemas.openxmlformats.org/officeDocument/2006/relationships/hyperlink" Target="https://www.contextures.com/xldataval01.html" TargetMode="External"/><Relationship Id="rId5" Type="http://schemas.openxmlformats.org/officeDocument/2006/relationships/hyperlink" Target="https://www.contextures.com/excelsampledatasafety.html" TargetMode="External"/><Relationship Id="rId15" Type="http://schemas.openxmlformats.org/officeDocument/2006/relationships/drawing" Target="../drawings/drawing1.xml"/><Relationship Id="rId10" Type="http://schemas.openxmlformats.org/officeDocument/2006/relationships/hyperlink" Target="https://www.contextures.com/exceldatahockeyplayeranalysis.html" TargetMode="External"/><Relationship Id="rId4" Type="http://schemas.openxmlformats.org/officeDocument/2006/relationships/hyperlink" Target="https://www.contextures.com/excelsampledataathletes.html" TargetMode="External"/><Relationship Id="rId9" Type="http://schemas.openxmlformats.org/officeDocument/2006/relationships/hyperlink" Target="https://www.contextures.com/excelsampledatafoodsales.html"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hyperlink" Target="https://contexturesblog.com/" TargetMode="External"/><Relationship Id="rId2" Type="http://schemas.openxmlformats.org/officeDocument/2006/relationships/hyperlink" Target="https://www.pivot-table.com/" TargetMode="External"/><Relationship Id="rId1" Type="http://schemas.openxmlformats.org/officeDocument/2006/relationships/hyperlink" Target="https://www.contextures.com/tiptech.html" TargetMode="External"/><Relationship Id="rId6" Type="http://schemas.openxmlformats.org/officeDocument/2006/relationships/printerSettings" Target="../printerSettings/printerSettings3.bin"/><Relationship Id="rId5" Type="http://schemas.openxmlformats.org/officeDocument/2006/relationships/hyperlink" Target="https://www.contextures.com/ctxrmd" TargetMode="External"/><Relationship Id="rId4" Type="http://schemas.openxmlformats.org/officeDocument/2006/relationships/hyperlink" Target="https://www.contextures.com/excelnewslettersignu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0"/>
  <dimension ref="B1:C27"/>
  <sheetViews>
    <sheetView showGridLines="0" zoomScale="120" zoomScaleNormal="120" workbookViewId="0">
      <pane ySplit="3" topLeftCell="A20" activePane="bottomLeft" state="frozen"/>
      <selection pane="bottomLeft" activeCell="B6" sqref="B6"/>
    </sheetView>
  </sheetViews>
  <sheetFormatPr defaultColWidth="9.0703125" defaultRowHeight="18.5" x14ac:dyDescent="0.45"/>
  <cols>
    <col min="1" max="1" width="7.5" customWidth="1"/>
    <col min="2" max="2" width="2.78515625" customWidth="1"/>
    <col min="3" max="3" width="31.42578125" customWidth="1"/>
  </cols>
  <sheetData>
    <row r="1" spans="2:3" ht="7.5" customHeight="1" x14ac:dyDescent="0.45"/>
    <row r="4" spans="2:3" ht="9" customHeight="1" x14ac:dyDescent="0.45"/>
    <row r="5" spans="2:3" ht="21" x14ac:dyDescent="0.5">
      <c r="C5" s="2" t="s">
        <v>34</v>
      </c>
    </row>
    <row r="6" spans="2:3" x14ac:dyDescent="0.45">
      <c r="B6" s="4"/>
      <c r="C6" s="12" t="s">
        <v>38</v>
      </c>
    </row>
    <row r="7" spans="2:3" ht="9" customHeight="1" x14ac:dyDescent="0.45"/>
    <row r="8" spans="2:3" ht="21" x14ac:dyDescent="0.5">
      <c r="B8" s="4"/>
      <c r="C8" s="2" t="s">
        <v>55</v>
      </c>
    </row>
    <row r="9" spans="2:3" x14ac:dyDescent="0.45">
      <c r="B9" s="4"/>
      <c r="C9" s="12" t="s">
        <v>37</v>
      </c>
    </row>
    <row r="10" spans="2:3" x14ac:dyDescent="0.45">
      <c r="B10" s="4"/>
      <c r="C10" s="12" t="s">
        <v>46</v>
      </c>
    </row>
    <row r="11" spans="2:3" x14ac:dyDescent="0.45">
      <c r="C11" s="15" t="s">
        <v>56</v>
      </c>
    </row>
    <row r="12" spans="2:3" x14ac:dyDescent="0.45">
      <c r="C12" s="15" t="s">
        <v>57</v>
      </c>
    </row>
    <row r="13" spans="2:3" x14ac:dyDescent="0.45">
      <c r="C13" s="15" t="s">
        <v>58</v>
      </c>
    </row>
    <row r="14" spans="2:3" ht="9" customHeight="1" x14ac:dyDescent="0.45"/>
    <row r="15" spans="2:3" ht="21" x14ac:dyDescent="0.5">
      <c r="C15" s="2" t="s">
        <v>35</v>
      </c>
    </row>
    <row r="16" spans="2:3" x14ac:dyDescent="0.45">
      <c r="B16" s="7" t="s">
        <v>36</v>
      </c>
      <c r="C16" t="s">
        <v>43</v>
      </c>
    </row>
    <row r="17" spans="2:3" x14ac:dyDescent="0.45">
      <c r="B17" s="7" t="s">
        <v>36</v>
      </c>
      <c r="C17" t="s">
        <v>44</v>
      </c>
    </row>
    <row r="18" spans="2:3" x14ac:dyDescent="0.45">
      <c r="B18" s="7" t="s">
        <v>36</v>
      </c>
      <c r="C18" t="s">
        <v>39</v>
      </c>
    </row>
    <row r="19" spans="2:3" ht="9" customHeight="1" x14ac:dyDescent="0.45"/>
    <row r="20" spans="2:3" ht="21" x14ac:dyDescent="0.5">
      <c r="C20" s="2" t="s">
        <v>47</v>
      </c>
    </row>
    <row r="21" spans="2:3" x14ac:dyDescent="0.45">
      <c r="C21" s="15" t="s">
        <v>48</v>
      </c>
    </row>
    <row r="22" spans="2:3" x14ac:dyDescent="0.45">
      <c r="C22" s="15" t="s">
        <v>52</v>
      </c>
    </row>
    <row r="23" spans="2:3" x14ac:dyDescent="0.45">
      <c r="C23" s="15" t="s">
        <v>53</v>
      </c>
    </row>
    <row r="24" spans="2:3" x14ac:dyDescent="0.45">
      <c r="C24" s="15" t="s">
        <v>54</v>
      </c>
    </row>
    <row r="25" spans="2:3" x14ac:dyDescent="0.45">
      <c r="C25" s="15" t="s">
        <v>51</v>
      </c>
    </row>
    <row r="26" spans="2:3" x14ac:dyDescent="0.45">
      <c r="C26" s="15" t="s">
        <v>50</v>
      </c>
    </row>
    <row r="27" spans="2:3" x14ac:dyDescent="0.45">
      <c r="C27" s="15" t="s">
        <v>49</v>
      </c>
    </row>
  </sheetData>
  <sortState xmlns:xlrd2="http://schemas.microsoft.com/office/spreadsheetml/2017/richdata2" ref="C21:C30">
    <sortCondition ref="C20:C30"/>
  </sortState>
  <hyperlinks>
    <hyperlink ref="C6" r:id="rId1" xr:uid="{00000000-0004-0000-0000-000001000000}"/>
    <hyperlink ref="C9" r:id="rId2" xr:uid="{00000000-0004-0000-0000-000002000000}"/>
    <hyperlink ref="C10" r:id="rId3" xr:uid="{D13F52EB-BE4B-4EFB-B389-A8AC7E2C8260}"/>
    <hyperlink ref="C21" r:id="rId4" display="https://www.contextures.com/excelsampledataathletes.html" xr:uid="{0335F8CC-FB81-423E-AA69-CCC8801904A0}"/>
    <hyperlink ref="C27" r:id="rId5" display="https://www.contextures.com/excelsampledatasafety.html" xr:uid="{FFBE4EF0-FA31-4B42-A3CF-7F80A3264010}"/>
    <hyperlink ref="C26" r:id="rId6" display="https://www.contextures.com/excelsampledataworkorders.html" xr:uid="{3AABA7E2-FFA1-46EE-BF20-3182FF46318A}"/>
    <hyperlink ref="C25" r:id="rId7" display="https://www.contextures.com/excelsampledatainsurance.html" xr:uid="{B015DCF1-D0A5-45AF-9697-B7E5A09E8890}"/>
    <hyperlink ref="C22" r:id="rId8" display="https://www.contextures.com/excelsampledatafoodinfo.html" xr:uid="{0EC2F4D8-8571-4781-B615-E0D6577D0C88}"/>
    <hyperlink ref="C23" r:id="rId9" display="https://www.contextures.com/excelsampledatafoodsales.html" xr:uid="{56728A1E-F6A4-4DD2-93C1-25C689859B93}"/>
    <hyperlink ref="C24" r:id="rId10" display="https://www.contextures.com/exceldatahockeyplayeranalysis.html" xr:uid="{5A28C4CC-B957-4B35-822B-B22C55FD474D}"/>
    <hyperlink ref="C11" r:id="rId11" display="https://www.contextures.com/xldataval01.html" xr:uid="{E190C8DE-E8EA-4373-835F-148740E34A46}"/>
    <hyperlink ref="C12" r:id="rId12" display="https://www.contextures.com/excelpivottablesetup.html" xr:uid="{F9F204F6-CF4E-4BAE-85E5-8685FFD65607}"/>
    <hyperlink ref="C13" r:id="rId13" display="Formulas and Functions" xr:uid="{95DE3B89-BC29-4747-878A-E25448BBB09E}"/>
  </hyperlinks>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44"/>
  <sheetViews>
    <sheetView showGridLines="0" zoomScaleNormal="100" workbookViewId="0">
      <pane ySplit="1" topLeftCell="A2" activePane="bottomLeft" state="frozen"/>
      <selection pane="bottomLeft" activeCell="D5" sqref="D5"/>
    </sheetView>
  </sheetViews>
  <sheetFormatPr defaultColWidth="9.0703125" defaultRowHeight="14.5" x14ac:dyDescent="0.45"/>
  <cols>
    <col min="1" max="1" width="11.5703125" style="18" customWidth="1"/>
    <col min="2" max="2" width="8.7109375" style="5" customWidth="1"/>
    <col min="3" max="3" width="9.5703125" style="5" customWidth="1"/>
    <col min="4" max="4" width="7.7109375" style="5" customWidth="1"/>
    <col min="5" max="5" width="7.28515625" style="6" customWidth="1"/>
    <col min="6" max="6" width="10.5703125" style="22" customWidth="1"/>
    <col min="7" max="7" width="10.0703125" style="25" customWidth="1"/>
    <col min="8" max="16384" width="9.0703125" style="5"/>
  </cols>
  <sheetData>
    <row r="1" spans="1:7" ht="18.5" x14ac:dyDescent="0.45">
      <c r="A1" s="17" t="s">
        <v>22</v>
      </c>
      <c r="B1" s="8" t="s">
        <v>0</v>
      </c>
      <c r="C1" s="8" t="s">
        <v>1</v>
      </c>
      <c r="D1" s="9" t="s">
        <v>2</v>
      </c>
      <c r="E1" s="10" t="s">
        <v>3</v>
      </c>
      <c r="F1" s="20" t="s">
        <v>14</v>
      </c>
      <c r="G1" s="23" t="s">
        <v>4</v>
      </c>
    </row>
    <row r="2" spans="1:7" ht="18.5" x14ac:dyDescent="0.45">
      <c r="A2" s="16">
        <v>45297</v>
      </c>
      <c r="B2" s="11" t="s">
        <v>29</v>
      </c>
      <c r="C2" s="11" t="s">
        <v>7</v>
      </c>
      <c r="D2" s="9" t="s">
        <v>15</v>
      </c>
      <c r="E2" s="19">
        <v>95</v>
      </c>
      <c r="F2" s="21">
        <v>1.99</v>
      </c>
      <c r="G2" s="24">
        <v>189.05</v>
      </c>
    </row>
    <row r="3" spans="1:7" ht="18.5" x14ac:dyDescent="0.45">
      <c r="A3" s="16">
        <v>45314</v>
      </c>
      <c r="B3" s="11" t="s">
        <v>27</v>
      </c>
      <c r="C3" s="11" t="s">
        <v>8</v>
      </c>
      <c r="D3" s="9" t="s">
        <v>16</v>
      </c>
      <c r="E3" s="19">
        <v>50</v>
      </c>
      <c r="F3" s="21">
        <v>19.989999999999998</v>
      </c>
      <c r="G3" s="24">
        <v>999.49999999999989</v>
      </c>
    </row>
    <row r="4" spans="1:7" ht="18.5" x14ac:dyDescent="0.45">
      <c r="A4" s="16">
        <v>45331</v>
      </c>
      <c r="B4" s="11" t="s">
        <v>27</v>
      </c>
      <c r="C4" s="11" t="s">
        <v>6</v>
      </c>
      <c r="D4" s="9" t="s">
        <v>15</v>
      </c>
      <c r="E4" s="19">
        <v>36</v>
      </c>
      <c r="F4" s="21">
        <v>4.99</v>
      </c>
      <c r="G4" s="24">
        <v>179.64000000000001</v>
      </c>
    </row>
    <row r="5" spans="1:7" ht="18.5" x14ac:dyDescent="0.45">
      <c r="A5" s="16">
        <v>45348</v>
      </c>
      <c r="B5" s="11" t="s">
        <v>27</v>
      </c>
      <c r="C5" s="11" t="s">
        <v>5</v>
      </c>
      <c r="D5" s="9" t="s">
        <v>17</v>
      </c>
      <c r="E5" s="19">
        <v>27</v>
      </c>
      <c r="F5" s="21">
        <v>19.989999999999998</v>
      </c>
      <c r="G5" s="24">
        <v>539.7299999999999</v>
      </c>
    </row>
    <row r="6" spans="1:7" ht="18.5" x14ac:dyDescent="0.45">
      <c r="A6" s="16">
        <v>45366</v>
      </c>
      <c r="B6" s="11" t="s">
        <v>28</v>
      </c>
      <c r="C6" s="11" t="s">
        <v>13</v>
      </c>
      <c r="D6" s="9" t="s">
        <v>15</v>
      </c>
      <c r="E6" s="19">
        <v>56</v>
      </c>
      <c r="F6" s="21">
        <v>2.99</v>
      </c>
      <c r="G6" s="24">
        <v>167.44</v>
      </c>
    </row>
    <row r="7" spans="1:7" ht="18.5" x14ac:dyDescent="0.45">
      <c r="A7" s="16">
        <v>45383</v>
      </c>
      <c r="B7" s="11" t="s">
        <v>29</v>
      </c>
      <c r="C7" s="11" t="s">
        <v>7</v>
      </c>
      <c r="D7" s="9" t="s">
        <v>16</v>
      </c>
      <c r="E7" s="19">
        <v>60</v>
      </c>
      <c r="F7" s="21">
        <v>4.99</v>
      </c>
      <c r="G7" s="24">
        <v>299.40000000000003</v>
      </c>
    </row>
    <row r="8" spans="1:7" ht="18.5" x14ac:dyDescent="0.45">
      <c r="A8" s="16">
        <v>45400</v>
      </c>
      <c r="B8" s="11" t="s">
        <v>27</v>
      </c>
      <c r="C8" s="11" t="s">
        <v>18</v>
      </c>
      <c r="D8" s="9" t="s">
        <v>15</v>
      </c>
      <c r="E8" s="19">
        <v>75</v>
      </c>
      <c r="F8" s="21">
        <v>1.99</v>
      </c>
      <c r="G8" s="24">
        <v>149.25</v>
      </c>
    </row>
    <row r="9" spans="1:7" ht="18.5" x14ac:dyDescent="0.45">
      <c r="A9" s="16">
        <v>45417</v>
      </c>
      <c r="B9" s="11" t="s">
        <v>27</v>
      </c>
      <c r="C9" s="11" t="s">
        <v>6</v>
      </c>
      <c r="D9" s="9" t="s">
        <v>15</v>
      </c>
      <c r="E9" s="19">
        <v>90</v>
      </c>
      <c r="F9" s="21">
        <v>4.99</v>
      </c>
      <c r="G9" s="24">
        <v>449.1</v>
      </c>
    </row>
    <row r="10" spans="1:7" ht="18.5" x14ac:dyDescent="0.45">
      <c r="A10" s="16">
        <v>45434</v>
      </c>
      <c r="B10" s="11" t="s">
        <v>28</v>
      </c>
      <c r="C10" s="11" t="s">
        <v>9</v>
      </c>
      <c r="D10" s="9" t="s">
        <v>15</v>
      </c>
      <c r="E10" s="19">
        <v>32</v>
      </c>
      <c r="F10" s="21">
        <v>1.99</v>
      </c>
      <c r="G10" s="24">
        <v>63.68</v>
      </c>
    </row>
    <row r="11" spans="1:7" ht="18.5" x14ac:dyDescent="0.45">
      <c r="A11" s="16">
        <v>45451</v>
      </c>
      <c r="B11" s="11" t="s">
        <v>29</v>
      </c>
      <c r="C11" s="11" t="s">
        <v>7</v>
      </c>
      <c r="D11" s="9" t="s">
        <v>16</v>
      </c>
      <c r="E11" s="19">
        <v>60</v>
      </c>
      <c r="F11" s="21">
        <v>8.99</v>
      </c>
      <c r="G11" s="24">
        <v>539.4</v>
      </c>
    </row>
    <row r="12" spans="1:7" ht="18.5" x14ac:dyDescent="0.45">
      <c r="A12" s="16">
        <v>45468</v>
      </c>
      <c r="B12" s="11" t="s">
        <v>27</v>
      </c>
      <c r="C12" s="11" t="s">
        <v>12</v>
      </c>
      <c r="D12" s="9" t="s">
        <v>15</v>
      </c>
      <c r="E12" s="19">
        <v>90</v>
      </c>
      <c r="F12" s="21">
        <v>4.99</v>
      </c>
      <c r="G12" s="24">
        <v>449.1</v>
      </c>
    </row>
    <row r="13" spans="1:7" ht="18.5" x14ac:dyDescent="0.45">
      <c r="A13" s="16">
        <v>45485</v>
      </c>
      <c r="B13" s="11" t="s">
        <v>29</v>
      </c>
      <c r="C13" s="11" t="s">
        <v>11</v>
      </c>
      <c r="D13" s="9" t="s">
        <v>16</v>
      </c>
      <c r="E13" s="19">
        <v>29</v>
      </c>
      <c r="F13" s="21">
        <v>1.99</v>
      </c>
      <c r="G13" s="24">
        <v>57.71</v>
      </c>
    </row>
    <row r="14" spans="1:7" ht="18.5" x14ac:dyDescent="0.45">
      <c r="A14" s="16">
        <v>45502</v>
      </c>
      <c r="B14" s="11" t="s">
        <v>29</v>
      </c>
      <c r="C14" s="11" t="s">
        <v>19</v>
      </c>
      <c r="D14" s="9" t="s">
        <v>16</v>
      </c>
      <c r="E14" s="19">
        <v>81</v>
      </c>
      <c r="F14" s="21">
        <v>19.989999999999998</v>
      </c>
      <c r="G14" s="24">
        <v>1619.1899999999998</v>
      </c>
    </row>
    <row r="15" spans="1:7" ht="18.5" x14ac:dyDescent="0.45">
      <c r="A15" s="16">
        <v>45519</v>
      </c>
      <c r="B15" s="11" t="s">
        <v>29</v>
      </c>
      <c r="C15" s="11" t="s">
        <v>7</v>
      </c>
      <c r="D15" s="9" t="s">
        <v>15</v>
      </c>
      <c r="E15" s="19">
        <v>35</v>
      </c>
      <c r="F15" s="21">
        <v>4.99</v>
      </c>
      <c r="G15" s="24">
        <v>174.65</v>
      </c>
    </row>
    <row r="16" spans="1:7" ht="18.5" x14ac:dyDescent="0.45">
      <c r="A16" s="16">
        <v>45536</v>
      </c>
      <c r="B16" s="11" t="s">
        <v>27</v>
      </c>
      <c r="C16" s="11" t="s">
        <v>10</v>
      </c>
      <c r="D16" s="9" t="s">
        <v>20</v>
      </c>
      <c r="E16" s="19">
        <v>2</v>
      </c>
      <c r="F16" s="21">
        <v>125</v>
      </c>
      <c r="G16" s="24">
        <v>250</v>
      </c>
    </row>
    <row r="17" spans="1:7" ht="18.5" x14ac:dyDescent="0.45">
      <c r="A17" s="16">
        <v>45553</v>
      </c>
      <c r="B17" s="11" t="s">
        <v>29</v>
      </c>
      <c r="C17" s="11" t="s">
        <v>7</v>
      </c>
      <c r="D17" s="9" t="s">
        <v>21</v>
      </c>
      <c r="E17" s="19">
        <v>16</v>
      </c>
      <c r="F17" s="21">
        <v>15.99</v>
      </c>
      <c r="G17" s="24">
        <v>255.84</v>
      </c>
    </row>
    <row r="18" spans="1:7" ht="18.5" x14ac:dyDescent="0.45">
      <c r="A18" s="16">
        <v>45570</v>
      </c>
      <c r="B18" s="11" t="s">
        <v>27</v>
      </c>
      <c r="C18" s="11" t="s">
        <v>12</v>
      </c>
      <c r="D18" s="9" t="s">
        <v>16</v>
      </c>
      <c r="E18" s="19">
        <v>28</v>
      </c>
      <c r="F18" s="21">
        <v>8.99</v>
      </c>
      <c r="G18" s="24">
        <v>251.72</v>
      </c>
    </row>
    <row r="19" spans="1:7" ht="18.5" x14ac:dyDescent="0.45">
      <c r="A19" s="16">
        <v>45587</v>
      </c>
      <c r="B19" s="11" t="s">
        <v>29</v>
      </c>
      <c r="C19" s="11" t="s">
        <v>7</v>
      </c>
      <c r="D19" s="9" t="s">
        <v>17</v>
      </c>
      <c r="E19" s="19">
        <v>64</v>
      </c>
      <c r="F19" s="21">
        <v>8.99</v>
      </c>
      <c r="G19" s="24">
        <v>575.36</v>
      </c>
    </row>
    <row r="20" spans="1:7" ht="18.5" x14ac:dyDescent="0.45">
      <c r="A20" s="16">
        <v>45604</v>
      </c>
      <c r="B20" s="11" t="s">
        <v>29</v>
      </c>
      <c r="C20" s="11" t="s">
        <v>19</v>
      </c>
      <c r="D20" s="9" t="s">
        <v>17</v>
      </c>
      <c r="E20" s="19">
        <v>15</v>
      </c>
      <c r="F20" s="21">
        <v>19.989999999999998</v>
      </c>
      <c r="G20" s="24">
        <v>299.84999999999997</v>
      </c>
    </row>
    <row r="21" spans="1:7" ht="18.5" x14ac:dyDescent="0.45">
      <c r="A21" s="16">
        <v>45621</v>
      </c>
      <c r="B21" s="11" t="s">
        <v>27</v>
      </c>
      <c r="C21" s="11" t="s">
        <v>8</v>
      </c>
      <c r="D21" s="9" t="s">
        <v>21</v>
      </c>
      <c r="E21" s="19">
        <v>96</v>
      </c>
      <c r="F21" s="21">
        <v>4.99</v>
      </c>
      <c r="G21" s="24">
        <v>479.04</v>
      </c>
    </row>
    <row r="22" spans="1:7" ht="18.5" x14ac:dyDescent="0.45">
      <c r="A22" s="16">
        <v>45638</v>
      </c>
      <c r="B22" s="11" t="s">
        <v>27</v>
      </c>
      <c r="C22" s="11" t="s">
        <v>10</v>
      </c>
      <c r="D22" s="9" t="s">
        <v>15</v>
      </c>
      <c r="E22" s="19">
        <v>67</v>
      </c>
      <c r="F22" s="21">
        <v>1.29</v>
      </c>
      <c r="G22" s="24">
        <v>86.43</v>
      </c>
    </row>
    <row r="23" spans="1:7" ht="18.5" x14ac:dyDescent="0.45">
      <c r="A23" s="16">
        <v>45655</v>
      </c>
      <c r="B23" s="11" t="s">
        <v>29</v>
      </c>
      <c r="C23" s="11" t="s">
        <v>19</v>
      </c>
      <c r="D23" s="9" t="s">
        <v>21</v>
      </c>
      <c r="E23" s="19">
        <v>74</v>
      </c>
      <c r="F23" s="21">
        <v>15.99</v>
      </c>
      <c r="G23" s="24">
        <v>1183.26</v>
      </c>
    </row>
    <row r="24" spans="1:7" ht="18.5" x14ac:dyDescent="0.45">
      <c r="A24" s="16">
        <v>45672</v>
      </c>
      <c r="B24" s="11" t="s">
        <v>27</v>
      </c>
      <c r="C24" s="11" t="s">
        <v>5</v>
      </c>
      <c r="D24" s="9" t="s">
        <v>16</v>
      </c>
      <c r="E24" s="19">
        <v>46</v>
      </c>
      <c r="F24" s="21">
        <v>8.99</v>
      </c>
      <c r="G24" s="24">
        <v>413.54</v>
      </c>
    </row>
    <row r="25" spans="1:7" ht="18.5" x14ac:dyDescent="0.45">
      <c r="A25" s="16">
        <v>45689</v>
      </c>
      <c r="B25" s="11" t="s">
        <v>27</v>
      </c>
      <c r="C25" s="11" t="s">
        <v>10</v>
      </c>
      <c r="D25" s="9" t="s">
        <v>16</v>
      </c>
      <c r="E25" s="19">
        <v>87</v>
      </c>
      <c r="F25" s="21">
        <v>15</v>
      </c>
      <c r="G25" s="24">
        <v>1305</v>
      </c>
    </row>
    <row r="26" spans="1:7" ht="18.5" x14ac:dyDescent="0.45">
      <c r="A26" s="16">
        <v>45706</v>
      </c>
      <c r="B26" s="11" t="s">
        <v>29</v>
      </c>
      <c r="C26" s="11" t="s">
        <v>7</v>
      </c>
      <c r="D26" s="9" t="s">
        <v>16</v>
      </c>
      <c r="E26" s="19">
        <v>4</v>
      </c>
      <c r="F26" s="21">
        <v>4.99</v>
      </c>
      <c r="G26" s="24">
        <v>19.96</v>
      </c>
    </row>
    <row r="27" spans="1:7" ht="18.5" x14ac:dyDescent="0.45">
      <c r="A27" s="16">
        <v>45723</v>
      </c>
      <c r="B27" s="11" t="s">
        <v>28</v>
      </c>
      <c r="C27" s="11" t="s">
        <v>13</v>
      </c>
      <c r="D27" s="9" t="s">
        <v>16</v>
      </c>
      <c r="E27" s="19">
        <v>7</v>
      </c>
      <c r="F27" s="21">
        <v>19.989999999999998</v>
      </c>
      <c r="G27" s="24">
        <v>139.92999999999998</v>
      </c>
    </row>
    <row r="28" spans="1:7" ht="18.5" x14ac:dyDescent="0.45">
      <c r="A28" s="16">
        <v>45740</v>
      </c>
      <c r="B28" s="11" t="s">
        <v>27</v>
      </c>
      <c r="C28" s="11" t="s">
        <v>6</v>
      </c>
      <c r="D28" s="9" t="s">
        <v>21</v>
      </c>
      <c r="E28" s="19">
        <v>50</v>
      </c>
      <c r="F28" s="21">
        <v>4.99</v>
      </c>
      <c r="G28" s="24">
        <v>249.5</v>
      </c>
    </row>
    <row r="29" spans="1:7" ht="18.5" x14ac:dyDescent="0.45">
      <c r="A29" s="16">
        <v>45757</v>
      </c>
      <c r="B29" s="11" t="s">
        <v>27</v>
      </c>
      <c r="C29" s="11" t="s">
        <v>18</v>
      </c>
      <c r="D29" s="9" t="s">
        <v>15</v>
      </c>
      <c r="E29" s="19">
        <v>66</v>
      </c>
      <c r="F29" s="21">
        <v>1.99</v>
      </c>
      <c r="G29" s="24">
        <v>131.34</v>
      </c>
    </row>
    <row r="30" spans="1:7" ht="18.5" x14ac:dyDescent="0.45">
      <c r="A30" s="16">
        <v>45774</v>
      </c>
      <c r="B30" s="11" t="s">
        <v>29</v>
      </c>
      <c r="C30" s="11" t="s">
        <v>11</v>
      </c>
      <c r="D30" s="9" t="s">
        <v>17</v>
      </c>
      <c r="E30" s="19">
        <v>96</v>
      </c>
      <c r="F30" s="21">
        <v>4.99</v>
      </c>
      <c r="G30" s="24">
        <v>479.04</v>
      </c>
    </row>
    <row r="31" spans="1:7" ht="18.5" x14ac:dyDescent="0.45">
      <c r="A31" s="16">
        <v>45791</v>
      </c>
      <c r="B31" s="11" t="s">
        <v>27</v>
      </c>
      <c r="C31" s="11" t="s">
        <v>5</v>
      </c>
      <c r="D31" s="9" t="s">
        <v>15</v>
      </c>
      <c r="E31" s="19">
        <v>53</v>
      </c>
      <c r="F31" s="21">
        <v>1.29</v>
      </c>
      <c r="G31" s="24">
        <v>68.37</v>
      </c>
    </row>
    <row r="32" spans="1:7" ht="18.5" x14ac:dyDescent="0.45">
      <c r="A32" s="16">
        <v>45808</v>
      </c>
      <c r="B32" s="11" t="s">
        <v>27</v>
      </c>
      <c r="C32" s="11" t="s">
        <v>5</v>
      </c>
      <c r="D32" s="9" t="s">
        <v>16</v>
      </c>
      <c r="E32" s="19">
        <v>80</v>
      </c>
      <c r="F32" s="21">
        <v>8.99</v>
      </c>
      <c r="G32" s="24">
        <v>719.2</v>
      </c>
    </row>
    <row r="33" spans="1:7" ht="18.5" x14ac:dyDescent="0.45">
      <c r="A33" s="16">
        <v>45825</v>
      </c>
      <c r="B33" s="11" t="s">
        <v>27</v>
      </c>
      <c r="C33" s="11" t="s">
        <v>8</v>
      </c>
      <c r="D33" s="9" t="s">
        <v>20</v>
      </c>
      <c r="E33" s="19">
        <v>5</v>
      </c>
      <c r="F33" s="21">
        <v>125</v>
      </c>
      <c r="G33" s="24">
        <v>625</v>
      </c>
    </row>
    <row r="34" spans="1:7" ht="18.5" x14ac:dyDescent="0.45">
      <c r="A34" s="16">
        <v>45842</v>
      </c>
      <c r="B34" s="11" t="s">
        <v>29</v>
      </c>
      <c r="C34" s="11" t="s">
        <v>7</v>
      </c>
      <c r="D34" s="9" t="s">
        <v>21</v>
      </c>
      <c r="E34" s="19">
        <v>62</v>
      </c>
      <c r="F34" s="21">
        <v>4.99</v>
      </c>
      <c r="G34" s="24">
        <v>309.38</v>
      </c>
    </row>
    <row r="35" spans="1:7" ht="18.5" x14ac:dyDescent="0.45">
      <c r="A35" s="16">
        <v>45859</v>
      </c>
      <c r="B35" s="11" t="s">
        <v>27</v>
      </c>
      <c r="C35" s="11" t="s">
        <v>12</v>
      </c>
      <c r="D35" s="9" t="s">
        <v>21</v>
      </c>
      <c r="E35" s="19">
        <v>55</v>
      </c>
      <c r="F35" s="21">
        <v>12.49</v>
      </c>
      <c r="G35" s="24">
        <v>686.95</v>
      </c>
    </row>
    <row r="36" spans="1:7" ht="18.5" x14ac:dyDescent="0.45">
      <c r="A36" s="16">
        <v>45876</v>
      </c>
      <c r="B36" s="11" t="s">
        <v>27</v>
      </c>
      <c r="C36" s="11" t="s">
        <v>8</v>
      </c>
      <c r="D36" s="9" t="s">
        <v>21</v>
      </c>
      <c r="E36" s="19">
        <v>42</v>
      </c>
      <c r="F36" s="21">
        <v>23.95</v>
      </c>
      <c r="G36" s="24">
        <v>1005.9</v>
      </c>
    </row>
    <row r="37" spans="1:7" ht="18.5" x14ac:dyDescent="0.45">
      <c r="A37" s="16">
        <v>45893</v>
      </c>
      <c r="B37" s="11" t="s">
        <v>28</v>
      </c>
      <c r="C37" s="11" t="s">
        <v>13</v>
      </c>
      <c r="D37" s="9" t="s">
        <v>20</v>
      </c>
      <c r="E37" s="19">
        <v>3</v>
      </c>
      <c r="F37" s="21">
        <v>275</v>
      </c>
      <c r="G37" s="24">
        <v>825</v>
      </c>
    </row>
    <row r="38" spans="1:7" ht="18.5" x14ac:dyDescent="0.45">
      <c r="A38" s="16">
        <v>45910</v>
      </c>
      <c r="B38" s="11" t="s">
        <v>27</v>
      </c>
      <c r="C38" s="11" t="s">
        <v>5</v>
      </c>
      <c r="D38" s="9" t="s">
        <v>15</v>
      </c>
      <c r="E38" s="19">
        <v>7</v>
      </c>
      <c r="F38" s="21">
        <v>1.29</v>
      </c>
      <c r="G38" s="24">
        <v>9.0300000000000011</v>
      </c>
    </row>
    <row r="39" spans="1:7" ht="18.5" x14ac:dyDescent="0.45">
      <c r="A39" s="16">
        <v>45927</v>
      </c>
      <c r="B39" s="11" t="s">
        <v>28</v>
      </c>
      <c r="C39" s="11" t="s">
        <v>13</v>
      </c>
      <c r="D39" s="9" t="s">
        <v>17</v>
      </c>
      <c r="E39" s="19">
        <v>76</v>
      </c>
      <c r="F39" s="21">
        <v>1.99</v>
      </c>
      <c r="G39" s="24">
        <v>151.24</v>
      </c>
    </row>
    <row r="40" spans="1:7" ht="18.5" x14ac:dyDescent="0.45">
      <c r="A40" s="16">
        <v>45944</v>
      </c>
      <c r="B40" s="11" t="s">
        <v>28</v>
      </c>
      <c r="C40" s="11" t="s">
        <v>9</v>
      </c>
      <c r="D40" s="9" t="s">
        <v>16</v>
      </c>
      <c r="E40" s="19">
        <v>57</v>
      </c>
      <c r="F40" s="21">
        <v>19.989999999999998</v>
      </c>
      <c r="G40" s="24">
        <v>1139.4299999999998</v>
      </c>
    </row>
    <row r="41" spans="1:7" ht="18.5" x14ac:dyDescent="0.45">
      <c r="A41" s="16">
        <v>45961</v>
      </c>
      <c r="B41" s="11" t="s">
        <v>27</v>
      </c>
      <c r="C41" s="11" t="s">
        <v>18</v>
      </c>
      <c r="D41" s="9" t="s">
        <v>15</v>
      </c>
      <c r="E41" s="19">
        <v>14</v>
      </c>
      <c r="F41" s="21">
        <v>1.29</v>
      </c>
      <c r="G41" s="24">
        <v>18.060000000000002</v>
      </c>
    </row>
    <row r="42" spans="1:7" ht="18.5" x14ac:dyDescent="0.45">
      <c r="A42" s="16">
        <v>45978</v>
      </c>
      <c r="B42" s="11" t="s">
        <v>27</v>
      </c>
      <c r="C42" s="11" t="s">
        <v>6</v>
      </c>
      <c r="D42" s="9" t="s">
        <v>16</v>
      </c>
      <c r="E42" s="19">
        <v>11</v>
      </c>
      <c r="F42" s="21">
        <v>4.99</v>
      </c>
      <c r="G42" s="24">
        <v>54.89</v>
      </c>
    </row>
    <row r="43" spans="1:7" ht="18.5" x14ac:dyDescent="0.45">
      <c r="A43" s="16">
        <v>45995</v>
      </c>
      <c r="B43" s="11" t="s">
        <v>27</v>
      </c>
      <c r="C43" s="11" t="s">
        <v>6</v>
      </c>
      <c r="D43" s="9" t="s">
        <v>16</v>
      </c>
      <c r="E43" s="19">
        <v>94</v>
      </c>
      <c r="F43" s="21">
        <v>19.989999999999998</v>
      </c>
      <c r="G43" s="24">
        <v>1879.06</v>
      </c>
    </row>
    <row r="44" spans="1:7" ht="18.5" x14ac:dyDescent="0.45">
      <c r="A44" s="16">
        <v>46012</v>
      </c>
      <c r="B44" s="11" t="s">
        <v>27</v>
      </c>
      <c r="C44" s="11" t="s">
        <v>18</v>
      </c>
      <c r="D44" s="9" t="s">
        <v>16</v>
      </c>
      <c r="E44" s="19">
        <v>28</v>
      </c>
      <c r="F44" s="21">
        <v>4.99</v>
      </c>
      <c r="G44" s="24">
        <v>139.72</v>
      </c>
    </row>
  </sheetData>
  <phoneticPr fontId="0" type="noConversion"/>
  <pageMargins left="0.75" right="0.75" top="1" bottom="1" header="0.5" footer="0.5"/>
  <pageSetup orientation="portrait" r:id="rId1"/>
  <headerFooter alignWithMargins="0">
    <oddFooter>&amp;LDeveloped by Contextures Inc.&amp;Cwww.contextures.com&amp;R&amp;D</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BFAF-DF54-407F-9422-382887A8D595}">
  <dimension ref="A1:K48"/>
  <sheetViews>
    <sheetView showGridLines="0" tabSelected="1" zoomScale="60" zoomScaleNormal="60" workbookViewId="0">
      <selection activeCell="L38" sqref="L38"/>
    </sheetView>
  </sheetViews>
  <sheetFormatPr defaultRowHeight="18.5" x14ac:dyDescent="0.45"/>
  <cols>
    <col min="1" max="1" width="11" bestFit="1" customWidth="1"/>
    <col min="2" max="2" width="15.78515625" bestFit="1" customWidth="1"/>
    <col min="3" max="3" width="17.140625" bestFit="1" customWidth="1"/>
  </cols>
  <sheetData>
    <row r="1" spans="1:11" ht="31" x14ac:dyDescent="0.7">
      <c r="A1" s="30" t="s">
        <v>78</v>
      </c>
      <c r="B1" s="30"/>
      <c r="C1" s="31"/>
      <c r="D1" s="31"/>
      <c r="E1" s="31"/>
      <c r="F1" s="31"/>
      <c r="G1" s="31"/>
      <c r="H1" s="31"/>
      <c r="I1" s="31"/>
      <c r="J1" s="31"/>
      <c r="K1" s="31"/>
    </row>
    <row r="2" spans="1:11" x14ac:dyDescent="0.45">
      <c r="A2" s="31"/>
      <c r="B2" s="31"/>
      <c r="C2" s="31"/>
      <c r="D2" s="31"/>
      <c r="E2" s="31"/>
      <c r="F2" s="31"/>
      <c r="G2" s="31"/>
      <c r="H2" s="31"/>
      <c r="I2" s="31"/>
      <c r="J2" s="31"/>
      <c r="K2" s="31"/>
    </row>
    <row r="3" spans="1:11" ht="21" x14ac:dyDescent="0.45">
      <c r="A3" s="32" t="s">
        <v>74</v>
      </c>
      <c r="B3" s="32" t="s">
        <v>76</v>
      </c>
      <c r="C3" s="33" t="s">
        <v>77</v>
      </c>
      <c r="D3" s="31"/>
      <c r="E3" s="31"/>
      <c r="F3" s="31"/>
      <c r="G3" s="31"/>
      <c r="H3" s="31"/>
      <c r="I3" s="31"/>
      <c r="J3" s="31"/>
      <c r="K3" s="31"/>
    </row>
    <row r="4" spans="1:11" ht="21" x14ac:dyDescent="0.45">
      <c r="A4" s="34">
        <v>9577.65</v>
      </c>
      <c r="B4" s="35">
        <v>722</v>
      </c>
      <c r="C4" s="32">
        <f>GETPIVOTDATA("Total",$A$3)/GETPIVOTDATA("Units",$B$3)</f>
        <v>13.265443213296399</v>
      </c>
      <c r="D4" s="31"/>
      <c r="E4" s="31"/>
      <c r="F4" s="31"/>
      <c r="G4" s="31"/>
      <c r="H4" s="31"/>
      <c r="I4" s="31"/>
      <c r="J4" s="31"/>
      <c r="K4" s="31"/>
    </row>
    <row r="5" spans="1:11" x14ac:dyDescent="0.45">
      <c r="A5" s="31"/>
      <c r="B5" s="31"/>
      <c r="C5" s="31"/>
      <c r="D5" s="31"/>
      <c r="E5" s="31"/>
      <c r="F5" s="31"/>
      <c r="G5" s="31"/>
      <c r="H5" s="31"/>
      <c r="I5" s="31"/>
      <c r="J5" s="31"/>
      <c r="K5" s="31"/>
    </row>
    <row r="6" spans="1:11" x14ac:dyDescent="0.45">
      <c r="A6" s="31"/>
      <c r="B6" s="31"/>
      <c r="C6" s="31"/>
      <c r="D6" s="31"/>
      <c r="E6" s="31"/>
      <c r="F6" s="31"/>
      <c r="G6" s="31"/>
      <c r="H6" s="31"/>
      <c r="I6" s="31"/>
      <c r="J6" s="31"/>
      <c r="K6" s="31"/>
    </row>
    <row r="7" spans="1:11" x14ac:dyDescent="0.45">
      <c r="A7" s="31"/>
      <c r="B7" s="31"/>
      <c r="C7" s="31"/>
      <c r="D7" s="31"/>
      <c r="E7" s="31"/>
      <c r="F7" s="31"/>
      <c r="G7" s="31"/>
      <c r="H7" s="31"/>
      <c r="I7" s="31"/>
      <c r="J7" s="31"/>
      <c r="K7" s="31"/>
    </row>
    <row r="8" spans="1:11" x14ac:dyDescent="0.45">
      <c r="A8" s="31"/>
      <c r="B8" s="31"/>
      <c r="C8" s="31"/>
      <c r="D8" s="31"/>
      <c r="E8" s="31"/>
      <c r="F8" s="31"/>
      <c r="G8" s="31"/>
      <c r="H8" s="31"/>
      <c r="I8" s="31"/>
      <c r="J8" s="31"/>
      <c r="K8" s="31"/>
    </row>
    <row r="9" spans="1:11" x14ac:dyDescent="0.45">
      <c r="A9" s="31"/>
      <c r="B9" s="31"/>
      <c r="C9" s="31"/>
      <c r="D9" s="31"/>
      <c r="E9" s="31"/>
      <c r="F9" s="31"/>
      <c r="G9" s="31"/>
      <c r="H9" s="31"/>
      <c r="I9" s="31"/>
      <c r="J9" s="31"/>
      <c r="K9" s="31"/>
    </row>
    <row r="10" spans="1:11" x14ac:dyDescent="0.45">
      <c r="A10" s="31"/>
      <c r="B10" s="31"/>
      <c r="C10" s="31"/>
      <c r="D10" s="31"/>
      <c r="E10" s="31"/>
      <c r="F10" s="31"/>
      <c r="G10" s="31"/>
      <c r="H10" s="31"/>
      <c r="I10" s="31"/>
      <c r="J10" s="31"/>
      <c r="K10" s="31"/>
    </row>
    <row r="11" spans="1:11" x14ac:dyDescent="0.45">
      <c r="A11" s="31"/>
      <c r="B11" s="31"/>
      <c r="C11" s="31"/>
      <c r="D11" s="31"/>
      <c r="E11" s="31"/>
      <c r="F11" s="31"/>
      <c r="G11" s="31"/>
      <c r="H11" s="31"/>
      <c r="I11" s="31"/>
      <c r="J11" s="31"/>
      <c r="K11" s="31"/>
    </row>
    <row r="12" spans="1:11" x14ac:dyDescent="0.45">
      <c r="A12" s="31"/>
      <c r="B12" s="31"/>
      <c r="C12" s="31"/>
      <c r="D12" s="31"/>
      <c r="E12" s="31"/>
      <c r="F12" s="31"/>
      <c r="G12" s="31"/>
      <c r="H12" s="31"/>
      <c r="I12" s="31"/>
      <c r="J12" s="31"/>
      <c r="K12" s="31"/>
    </row>
    <row r="13" spans="1:11" x14ac:dyDescent="0.45">
      <c r="A13" s="31"/>
      <c r="B13" s="31"/>
      <c r="C13" s="31"/>
      <c r="D13" s="31"/>
      <c r="E13" s="31"/>
      <c r="F13" s="31"/>
      <c r="G13" s="31"/>
      <c r="H13" s="31"/>
      <c r="I13" s="31"/>
      <c r="J13" s="31"/>
      <c r="K13" s="31"/>
    </row>
    <row r="14" spans="1:11" x14ac:dyDescent="0.45">
      <c r="A14" s="31"/>
      <c r="B14" s="31"/>
      <c r="C14" s="31"/>
      <c r="D14" s="31"/>
      <c r="E14" s="31"/>
      <c r="F14" s="31"/>
      <c r="G14" s="31"/>
      <c r="H14" s="31"/>
      <c r="I14" s="31"/>
      <c r="J14" s="31"/>
      <c r="K14" s="31"/>
    </row>
    <row r="15" spans="1:11" x14ac:dyDescent="0.45">
      <c r="A15" s="31"/>
      <c r="B15" s="31"/>
      <c r="C15" s="31"/>
      <c r="D15" s="31"/>
      <c r="E15" s="31"/>
      <c r="F15" s="31"/>
      <c r="G15" s="31"/>
      <c r="H15" s="31"/>
      <c r="I15" s="31"/>
      <c r="J15" s="31"/>
      <c r="K15" s="31"/>
    </row>
    <row r="16" spans="1:11" x14ac:dyDescent="0.45">
      <c r="A16" s="31"/>
      <c r="B16" s="31"/>
      <c r="C16" s="31"/>
      <c r="D16" s="31"/>
      <c r="E16" s="31"/>
      <c r="F16" s="31"/>
      <c r="G16" s="31"/>
      <c r="H16" s="31"/>
      <c r="I16" s="31"/>
      <c r="J16" s="31"/>
      <c r="K16" s="31"/>
    </row>
    <row r="17" spans="1:11" x14ac:dyDescent="0.45">
      <c r="A17" s="31"/>
      <c r="B17" s="31"/>
      <c r="C17" s="31"/>
      <c r="D17" s="31"/>
      <c r="E17" s="31"/>
      <c r="F17" s="31"/>
      <c r="G17" s="31"/>
      <c r="H17" s="31"/>
      <c r="I17" s="31"/>
      <c r="J17" s="31"/>
      <c r="K17" s="31"/>
    </row>
    <row r="18" spans="1:11" x14ac:dyDescent="0.45">
      <c r="A18" s="31"/>
      <c r="B18" s="31"/>
      <c r="C18" s="31"/>
      <c r="D18" s="31"/>
      <c r="E18" s="31"/>
      <c r="F18" s="31"/>
      <c r="G18" s="31"/>
      <c r="H18" s="31"/>
      <c r="I18" s="31"/>
      <c r="J18" s="31"/>
      <c r="K18" s="31"/>
    </row>
    <row r="19" spans="1:11" x14ac:dyDescent="0.45">
      <c r="A19" s="31"/>
      <c r="B19" s="31"/>
      <c r="C19" s="31"/>
      <c r="D19" s="31"/>
      <c r="E19" s="31"/>
      <c r="F19" s="31"/>
      <c r="G19" s="31"/>
      <c r="H19" s="31"/>
      <c r="I19" s="31"/>
      <c r="J19" s="31"/>
      <c r="K19" s="31"/>
    </row>
    <row r="20" spans="1:11" x14ac:dyDescent="0.45">
      <c r="A20" s="31"/>
      <c r="B20" s="31"/>
      <c r="C20" s="31"/>
      <c r="D20" s="31"/>
      <c r="E20" s="31"/>
      <c r="F20" s="31"/>
      <c r="G20" s="31"/>
      <c r="H20" s="31"/>
      <c r="I20" s="31"/>
      <c r="J20" s="31"/>
      <c r="K20" s="31"/>
    </row>
    <row r="21" spans="1:11" x14ac:dyDescent="0.45">
      <c r="A21" s="31"/>
      <c r="B21" s="31"/>
      <c r="C21" s="31"/>
      <c r="D21" s="31"/>
      <c r="E21" s="31"/>
      <c r="F21" s="31"/>
      <c r="G21" s="31"/>
      <c r="H21" s="31"/>
      <c r="I21" s="31"/>
      <c r="J21" s="31"/>
      <c r="K21" s="31"/>
    </row>
    <row r="22" spans="1:11" x14ac:dyDescent="0.45">
      <c r="A22" s="31"/>
      <c r="B22" s="31"/>
      <c r="C22" s="31"/>
      <c r="D22" s="31"/>
      <c r="E22" s="31"/>
      <c r="F22" s="31"/>
      <c r="G22" s="31"/>
      <c r="H22" s="31"/>
      <c r="I22" s="31"/>
      <c r="J22" s="31"/>
      <c r="K22" s="31"/>
    </row>
    <row r="23" spans="1:11" x14ac:dyDescent="0.45">
      <c r="A23" s="31"/>
      <c r="B23" s="31"/>
      <c r="C23" s="31"/>
      <c r="D23" s="31"/>
      <c r="E23" s="31"/>
      <c r="F23" s="31"/>
      <c r="G23" s="31"/>
      <c r="H23" s="31"/>
      <c r="I23" s="31"/>
      <c r="J23" s="31"/>
      <c r="K23" s="31"/>
    </row>
    <row r="24" spans="1:11" x14ac:dyDescent="0.45">
      <c r="A24" s="31"/>
      <c r="B24" s="31"/>
      <c r="C24" s="31"/>
      <c r="D24" s="31"/>
      <c r="E24" s="31"/>
      <c r="F24" s="31"/>
      <c r="G24" s="31"/>
      <c r="H24" s="31"/>
      <c r="I24" s="31"/>
      <c r="J24" s="31"/>
      <c r="K24" s="31"/>
    </row>
    <row r="25" spans="1:11" x14ac:dyDescent="0.45">
      <c r="A25" s="31"/>
      <c r="B25" s="31"/>
      <c r="C25" s="31"/>
      <c r="D25" s="31"/>
      <c r="E25" s="31"/>
      <c r="F25" s="31"/>
      <c r="G25" s="31"/>
      <c r="H25" s="31"/>
      <c r="I25" s="31"/>
      <c r="J25" s="31"/>
      <c r="K25" s="31"/>
    </row>
    <row r="26" spans="1:11" x14ac:dyDescent="0.45">
      <c r="A26" s="31"/>
      <c r="B26" s="31"/>
      <c r="C26" s="31"/>
      <c r="D26" s="31"/>
      <c r="E26" s="31"/>
      <c r="F26" s="31"/>
      <c r="G26" s="31"/>
      <c r="H26" s="31"/>
      <c r="I26" s="31"/>
      <c r="J26" s="31"/>
      <c r="K26" s="31"/>
    </row>
    <row r="27" spans="1:11" x14ac:dyDescent="0.45">
      <c r="A27" s="31"/>
      <c r="B27" s="31"/>
      <c r="C27" s="31"/>
      <c r="D27" s="31"/>
      <c r="E27" s="31"/>
      <c r="F27" s="31"/>
      <c r="G27" s="31"/>
      <c r="H27" s="31"/>
      <c r="I27" s="31"/>
      <c r="J27" s="31"/>
      <c r="K27" s="31"/>
    </row>
    <row r="28" spans="1:11" x14ac:dyDescent="0.45">
      <c r="A28" s="31"/>
      <c r="B28" s="31"/>
      <c r="C28" s="31"/>
      <c r="D28" s="31"/>
      <c r="E28" s="31"/>
      <c r="F28" s="31"/>
      <c r="G28" s="31"/>
      <c r="H28" s="31"/>
      <c r="I28" s="31"/>
      <c r="J28" s="31"/>
      <c r="K28" s="31"/>
    </row>
    <row r="29" spans="1:11" x14ac:dyDescent="0.45">
      <c r="A29" s="31"/>
      <c r="B29" s="31"/>
      <c r="C29" s="31"/>
      <c r="D29" s="31"/>
      <c r="E29" s="31"/>
      <c r="F29" s="31"/>
      <c r="G29" s="31"/>
      <c r="H29" s="31"/>
      <c r="I29" s="31"/>
      <c r="J29" s="31"/>
      <c r="K29" s="31"/>
    </row>
    <row r="30" spans="1:11" x14ac:dyDescent="0.45">
      <c r="A30" s="31"/>
      <c r="B30" s="31"/>
      <c r="C30" s="31"/>
      <c r="D30" s="31"/>
      <c r="E30" s="31"/>
      <c r="F30" s="31"/>
      <c r="G30" s="31"/>
      <c r="H30" s="31"/>
      <c r="I30" s="31"/>
      <c r="J30" s="31"/>
      <c r="K30" s="31"/>
    </row>
    <row r="31" spans="1:11" x14ac:dyDescent="0.45">
      <c r="A31" s="31"/>
      <c r="B31" s="31"/>
      <c r="C31" s="31"/>
      <c r="D31" s="31"/>
      <c r="E31" s="31"/>
      <c r="F31" s="31"/>
      <c r="G31" s="31"/>
      <c r="H31" s="31"/>
      <c r="I31" s="31"/>
      <c r="J31" s="31"/>
      <c r="K31" s="31"/>
    </row>
    <row r="32" spans="1:11" x14ac:dyDescent="0.45">
      <c r="A32" s="31"/>
      <c r="B32" s="31"/>
      <c r="C32" s="31"/>
      <c r="D32" s="31"/>
      <c r="E32" s="31"/>
      <c r="F32" s="31"/>
      <c r="G32" s="31"/>
      <c r="H32" s="31"/>
      <c r="I32" s="31"/>
      <c r="J32" s="31"/>
      <c r="K32" s="31"/>
    </row>
    <row r="33" spans="1:11" x14ac:dyDescent="0.45">
      <c r="A33" s="31"/>
      <c r="B33" s="31"/>
      <c r="C33" s="31"/>
      <c r="D33" s="31"/>
      <c r="E33" s="31"/>
      <c r="F33" s="31"/>
      <c r="G33" s="31"/>
      <c r="H33" s="31"/>
      <c r="I33" s="31"/>
      <c r="J33" s="31"/>
      <c r="K33" s="31"/>
    </row>
    <row r="34" spans="1:11" x14ac:dyDescent="0.45">
      <c r="A34" s="31"/>
      <c r="B34" s="31"/>
      <c r="C34" s="31"/>
      <c r="D34" s="31"/>
      <c r="E34" s="31"/>
      <c r="F34" s="31"/>
      <c r="G34" s="31"/>
      <c r="H34" s="31"/>
      <c r="I34" s="31"/>
      <c r="J34" s="31"/>
      <c r="K34" s="31"/>
    </row>
    <row r="35" spans="1:11" x14ac:dyDescent="0.45">
      <c r="A35" s="31"/>
      <c r="B35" s="31"/>
      <c r="C35" s="31"/>
      <c r="D35" s="31"/>
      <c r="E35" s="31"/>
      <c r="F35" s="31"/>
      <c r="G35" s="31"/>
      <c r="H35" s="31"/>
      <c r="I35" s="31"/>
      <c r="J35" s="31"/>
      <c r="K35" s="31"/>
    </row>
    <row r="36" spans="1:11" x14ac:dyDescent="0.45">
      <c r="A36" s="31"/>
      <c r="B36" s="31"/>
      <c r="C36" s="31"/>
      <c r="D36" s="31"/>
      <c r="E36" s="31"/>
      <c r="F36" s="31"/>
      <c r="G36" s="31"/>
      <c r="H36" s="31"/>
      <c r="I36" s="31"/>
      <c r="J36" s="31"/>
      <c r="K36" s="31"/>
    </row>
    <row r="37" spans="1:11" x14ac:dyDescent="0.45">
      <c r="A37" s="31"/>
      <c r="B37" s="31"/>
      <c r="C37" s="31"/>
      <c r="D37" s="31"/>
      <c r="E37" s="31"/>
      <c r="F37" s="31"/>
      <c r="G37" s="31"/>
      <c r="H37" s="31"/>
      <c r="I37" s="31"/>
      <c r="J37" s="31"/>
      <c r="K37" s="31"/>
    </row>
    <row r="38" spans="1:11" x14ac:dyDescent="0.45">
      <c r="A38" s="31"/>
      <c r="B38" s="31"/>
      <c r="C38" s="31"/>
      <c r="D38" s="31"/>
      <c r="E38" s="31"/>
      <c r="F38" s="31"/>
      <c r="G38" s="31"/>
      <c r="H38" s="31"/>
      <c r="I38" s="31"/>
      <c r="J38" s="31"/>
      <c r="K38" s="31"/>
    </row>
    <row r="39" spans="1:11" x14ac:dyDescent="0.45">
      <c r="A39" s="31"/>
      <c r="B39" s="31"/>
      <c r="C39" s="31"/>
      <c r="D39" s="31"/>
      <c r="E39" s="31"/>
      <c r="F39" s="31"/>
      <c r="G39" s="31"/>
      <c r="H39" s="31"/>
      <c r="I39" s="31"/>
      <c r="J39" s="31"/>
      <c r="K39" s="31"/>
    </row>
    <row r="40" spans="1:11" x14ac:dyDescent="0.45">
      <c r="A40" s="31"/>
      <c r="B40" s="31"/>
      <c r="C40" s="31"/>
      <c r="D40" s="31"/>
      <c r="E40" s="31"/>
      <c r="F40" s="31"/>
      <c r="G40" s="31"/>
      <c r="H40" s="31"/>
      <c r="I40" s="31"/>
      <c r="J40" s="31"/>
      <c r="K40" s="31"/>
    </row>
    <row r="41" spans="1:11" x14ac:dyDescent="0.45">
      <c r="A41" s="31"/>
      <c r="B41" s="31"/>
      <c r="C41" s="31"/>
      <c r="D41" s="31"/>
      <c r="E41" s="31"/>
      <c r="F41" s="31"/>
      <c r="G41" s="31"/>
      <c r="H41" s="31"/>
      <c r="I41" s="31"/>
      <c r="J41" s="31"/>
      <c r="K41" s="31"/>
    </row>
    <row r="42" spans="1:11" x14ac:dyDescent="0.45">
      <c r="A42" s="31"/>
      <c r="B42" s="31"/>
      <c r="C42" s="31"/>
      <c r="D42" s="31"/>
      <c r="E42" s="31"/>
      <c r="F42" s="31"/>
      <c r="G42" s="31"/>
      <c r="H42" s="31"/>
      <c r="I42" s="31"/>
      <c r="J42" s="31"/>
      <c r="K42" s="31"/>
    </row>
    <row r="43" spans="1:11" x14ac:dyDescent="0.45">
      <c r="A43" s="31"/>
      <c r="B43" s="31"/>
      <c r="C43" s="31"/>
      <c r="D43" s="31"/>
      <c r="E43" s="31"/>
      <c r="F43" s="31"/>
      <c r="G43" s="31"/>
      <c r="H43" s="31"/>
      <c r="I43" s="31"/>
      <c r="J43" s="31"/>
      <c r="K43" s="31"/>
    </row>
    <row r="44" spans="1:11" x14ac:dyDescent="0.45">
      <c r="A44" s="31"/>
      <c r="B44" s="31"/>
      <c r="C44" s="31"/>
      <c r="D44" s="31"/>
      <c r="E44" s="31"/>
      <c r="F44" s="31"/>
      <c r="G44" s="31"/>
      <c r="H44" s="31"/>
      <c r="I44" s="31"/>
      <c r="J44" s="31"/>
      <c r="K44" s="31"/>
    </row>
    <row r="45" spans="1:11" x14ac:dyDescent="0.45">
      <c r="A45" s="31"/>
      <c r="B45" s="31"/>
      <c r="C45" s="31"/>
      <c r="D45" s="31"/>
      <c r="E45" s="31"/>
      <c r="F45" s="31"/>
      <c r="G45" s="31"/>
      <c r="H45" s="31"/>
      <c r="I45" s="31"/>
      <c r="J45" s="31"/>
      <c r="K45" s="31"/>
    </row>
    <row r="46" spans="1:11" x14ac:dyDescent="0.45">
      <c r="A46" s="31"/>
      <c r="B46" s="31"/>
      <c r="C46" s="31"/>
      <c r="D46" s="31"/>
      <c r="E46" s="31"/>
      <c r="F46" s="31"/>
      <c r="G46" s="31"/>
      <c r="H46" s="31"/>
      <c r="I46" s="31"/>
      <c r="J46" s="31"/>
      <c r="K46" s="31"/>
    </row>
    <row r="47" spans="1:11" x14ac:dyDescent="0.45">
      <c r="A47" s="31"/>
      <c r="B47" s="31"/>
      <c r="C47" s="31"/>
      <c r="D47" s="31"/>
      <c r="E47" s="31"/>
      <c r="F47" s="31"/>
      <c r="G47" s="31"/>
      <c r="H47" s="31"/>
      <c r="I47" s="31"/>
      <c r="J47" s="31"/>
      <c r="K47" s="31"/>
    </row>
    <row r="48" spans="1:11" x14ac:dyDescent="0.45">
      <c r="A48" s="31"/>
      <c r="B48" s="31"/>
      <c r="C48" s="31"/>
      <c r="D48" s="31"/>
      <c r="E48" s="31"/>
      <c r="F48" s="31"/>
      <c r="G48" s="31"/>
      <c r="H48" s="31"/>
      <c r="I48" s="31"/>
      <c r="J48" s="31"/>
      <c r="K48" s="3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9A20-7F5D-440C-920D-87B9AB71A8E0}">
  <dimension ref="A3:A4"/>
  <sheetViews>
    <sheetView workbookViewId="0">
      <selection activeCell="A3" sqref="A3:A4"/>
    </sheetView>
  </sheetViews>
  <sheetFormatPr defaultRowHeight="18.5" x14ac:dyDescent="0.45"/>
  <cols>
    <col min="1" max="1" width="11.28515625" bestFit="1" customWidth="1"/>
  </cols>
  <sheetData>
    <row r="3" spans="1:1" x14ac:dyDescent="0.45">
      <c r="A3" t="s">
        <v>59</v>
      </c>
    </row>
    <row r="4" spans="1:1" x14ac:dyDescent="0.45">
      <c r="A4" s="27">
        <v>19627.880000000008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46CA-08A3-4108-A47E-1D8F99C93559}">
  <dimension ref="A3:B5"/>
  <sheetViews>
    <sheetView topLeftCell="A2" workbookViewId="0">
      <selection activeCell="H1" sqref="H1"/>
    </sheetView>
  </sheetViews>
  <sheetFormatPr defaultRowHeight="18.5" x14ac:dyDescent="0.45"/>
  <cols>
    <col min="1" max="1" width="10.640625" bestFit="1" customWidth="1"/>
    <col min="2" max="2" width="11.28515625" bestFit="1" customWidth="1"/>
  </cols>
  <sheetData>
    <row r="3" spans="1:2" x14ac:dyDescent="0.45">
      <c r="A3" s="26" t="s">
        <v>0</v>
      </c>
      <c r="B3" t="s">
        <v>59</v>
      </c>
    </row>
    <row r="4" spans="1:2" x14ac:dyDescent="0.45">
      <c r="A4" s="14" t="s">
        <v>28</v>
      </c>
      <c r="B4" s="27">
        <v>1139.4299999999998</v>
      </c>
    </row>
    <row r="5" spans="1:2" x14ac:dyDescent="0.45">
      <c r="A5" s="14" t="s">
        <v>61</v>
      </c>
      <c r="B5" s="27">
        <v>1139.4299999999998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73E2-E417-46E7-8B4E-ADFDA10DB51A}">
  <dimension ref="A3:B7"/>
  <sheetViews>
    <sheetView workbookViewId="0">
      <selection activeCell="D7" sqref="D7"/>
    </sheetView>
  </sheetViews>
  <sheetFormatPr defaultRowHeight="18.5" x14ac:dyDescent="0.45"/>
  <cols>
    <col min="1" max="1" width="11.92578125" bestFit="1" customWidth="1"/>
    <col min="2" max="2" width="11.28515625" bestFit="1" customWidth="1"/>
  </cols>
  <sheetData>
    <row r="3" spans="1:2" x14ac:dyDescent="0.45">
      <c r="A3" s="26" t="s">
        <v>60</v>
      </c>
      <c r="B3" t="s">
        <v>59</v>
      </c>
    </row>
    <row r="4" spans="1:2" x14ac:dyDescent="0.45">
      <c r="A4" s="14" t="s">
        <v>16</v>
      </c>
      <c r="B4" s="27">
        <v>9577.65</v>
      </c>
    </row>
    <row r="5" spans="1:2" x14ac:dyDescent="0.45">
      <c r="A5" s="14" t="s">
        <v>21</v>
      </c>
      <c r="B5" s="27">
        <v>4169.87</v>
      </c>
    </row>
    <row r="6" spans="1:2" x14ac:dyDescent="0.45">
      <c r="A6" s="14" t="s">
        <v>15</v>
      </c>
      <c r="B6" s="27">
        <v>2135.1400000000003</v>
      </c>
    </row>
    <row r="7" spans="1:2" x14ac:dyDescent="0.45">
      <c r="A7" s="14" t="s">
        <v>61</v>
      </c>
      <c r="B7" s="27">
        <v>15882.66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A45C-EED4-4F43-82E6-AED5672231B7}">
  <dimension ref="A3:A4"/>
  <sheetViews>
    <sheetView workbookViewId="0">
      <selection activeCell="A3" sqref="A3:A4"/>
    </sheetView>
  </sheetViews>
  <sheetFormatPr defaultRowHeight="18.5" x14ac:dyDescent="0.45"/>
  <cols>
    <col min="1" max="1" width="11.35546875" bestFit="1" customWidth="1"/>
  </cols>
  <sheetData>
    <row r="3" spans="1:1" x14ac:dyDescent="0.45">
      <c r="A3" t="s">
        <v>75</v>
      </c>
    </row>
    <row r="4" spans="1:1" x14ac:dyDescent="0.45">
      <c r="A4" s="29">
        <v>2121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86A9-DED4-4BA5-B91B-7375C35A60EC}">
  <dimension ref="A3:B18"/>
  <sheetViews>
    <sheetView workbookViewId="0">
      <selection activeCell="J6" sqref="J6"/>
    </sheetView>
  </sheetViews>
  <sheetFormatPr defaultRowHeight="18.5" x14ac:dyDescent="0.45"/>
  <cols>
    <col min="1" max="1" width="11.92578125" bestFit="1" customWidth="1"/>
    <col min="2" max="2" width="11.28515625" bestFit="1" customWidth="1"/>
  </cols>
  <sheetData>
    <row r="3" spans="1:2" x14ac:dyDescent="0.45">
      <c r="A3" s="26" t="s">
        <v>60</v>
      </c>
      <c r="B3" t="s">
        <v>59</v>
      </c>
    </row>
    <row r="4" spans="1:2" x14ac:dyDescent="0.45">
      <c r="A4" s="14" t="s">
        <v>62</v>
      </c>
      <c r="B4" s="27">
        <v>3766.9199999999996</v>
      </c>
    </row>
    <row r="5" spans="1:2" x14ac:dyDescent="0.45">
      <c r="A5" s="28" t="s">
        <v>64</v>
      </c>
      <c r="B5" s="27">
        <v>999.49999999999989</v>
      </c>
    </row>
    <row r="6" spans="1:2" x14ac:dyDescent="0.45">
      <c r="A6" s="28" t="s">
        <v>67</v>
      </c>
      <c r="B6" s="27">
        <v>299.40000000000003</v>
      </c>
    </row>
    <row r="7" spans="1:2" x14ac:dyDescent="0.45">
      <c r="A7" s="28" t="s">
        <v>69</v>
      </c>
      <c r="B7" s="27">
        <v>539.4</v>
      </c>
    </row>
    <row r="8" spans="1:2" x14ac:dyDescent="0.45">
      <c r="A8" s="28" t="s">
        <v>70</v>
      </c>
      <c r="B8" s="27">
        <v>1676.8999999999999</v>
      </c>
    </row>
    <row r="9" spans="1:2" x14ac:dyDescent="0.45">
      <c r="A9" s="28" t="s">
        <v>71</v>
      </c>
      <c r="B9" s="27">
        <v>251.72</v>
      </c>
    </row>
    <row r="10" spans="1:2" x14ac:dyDescent="0.45">
      <c r="A10" s="14" t="s">
        <v>63</v>
      </c>
      <c r="B10" s="27">
        <v>5810.73</v>
      </c>
    </row>
    <row r="11" spans="1:2" x14ac:dyDescent="0.45">
      <c r="A11" s="28" t="s">
        <v>64</v>
      </c>
      <c r="B11" s="27">
        <v>413.54</v>
      </c>
    </row>
    <row r="12" spans="1:2" x14ac:dyDescent="0.45">
      <c r="A12" s="28" t="s">
        <v>65</v>
      </c>
      <c r="B12" s="27">
        <v>1324.96</v>
      </c>
    </row>
    <row r="13" spans="1:2" x14ac:dyDescent="0.45">
      <c r="A13" s="28" t="s">
        <v>66</v>
      </c>
      <c r="B13" s="27">
        <v>139.92999999999998</v>
      </c>
    </row>
    <row r="14" spans="1:2" x14ac:dyDescent="0.45">
      <c r="A14" s="28" t="s">
        <v>68</v>
      </c>
      <c r="B14" s="27">
        <v>719.2</v>
      </c>
    </row>
    <row r="15" spans="1:2" x14ac:dyDescent="0.45">
      <c r="A15" s="28" t="s">
        <v>71</v>
      </c>
      <c r="B15" s="27">
        <v>1139.4299999999998</v>
      </c>
    </row>
    <row r="16" spans="1:2" x14ac:dyDescent="0.45">
      <c r="A16" s="28" t="s">
        <v>72</v>
      </c>
      <c r="B16" s="27">
        <v>54.89</v>
      </c>
    </row>
    <row r="17" spans="1:2" x14ac:dyDescent="0.45">
      <c r="A17" s="28" t="s">
        <v>73</v>
      </c>
      <c r="B17" s="27">
        <v>2018.78</v>
      </c>
    </row>
    <row r="18" spans="1:2" x14ac:dyDescent="0.45">
      <c r="A18" s="14" t="s">
        <v>61</v>
      </c>
      <c r="B18" s="27">
        <v>9577.65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EFB3-0C29-417D-8BBA-41708FD1AFCA}">
  <dimension ref="A3:B15"/>
  <sheetViews>
    <sheetView workbookViewId="0">
      <selection activeCell="B8" sqref="B8"/>
    </sheetView>
  </sheetViews>
  <sheetFormatPr defaultRowHeight="18.5" x14ac:dyDescent="0.45"/>
  <cols>
    <col min="1" max="1" width="11.92578125" bestFit="1" customWidth="1"/>
    <col min="2" max="2" width="11.28515625" bestFit="1" customWidth="1"/>
  </cols>
  <sheetData>
    <row r="3" spans="1:2" x14ac:dyDescent="0.45">
      <c r="A3" s="26" t="s">
        <v>60</v>
      </c>
      <c r="B3" t="s">
        <v>59</v>
      </c>
    </row>
    <row r="4" spans="1:2" x14ac:dyDescent="0.45">
      <c r="A4" s="14" t="s">
        <v>18</v>
      </c>
      <c r="B4" s="27">
        <v>438.37</v>
      </c>
    </row>
    <row r="5" spans="1:2" x14ac:dyDescent="0.45">
      <c r="A5" s="14" t="s">
        <v>5</v>
      </c>
      <c r="B5" s="27">
        <v>1749.8700000000001</v>
      </c>
    </row>
    <row r="6" spans="1:2" x14ac:dyDescent="0.45">
      <c r="A6" s="14" t="s">
        <v>11</v>
      </c>
      <c r="B6" s="27">
        <v>536.75</v>
      </c>
    </row>
    <row r="7" spans="1:2" x14ac:dyDescent="0.45">
      <c r="A7" s="14" t="s">
        <v>6</v>
      </c>
      <c r="B7" s="27">
        <v>2812.19</v>
      </c>
    </row>
    <row r="8" spans="1:2" x14ac:dyDescent="0.45">
      <c r="A8" s="14" t="s">
        <v>7</v>
      </c>
      <c r="B8" s="27">
        <v>2363.04</v>
      </c>
    </row>
    <row r="9" spans="1:2" x14ac:dyDescent="0.45">
      <c r="A9" s="14" t="s">
        <v>8</v>
      </c>
      <c r="B9" s="27">
        <v>3109.44</v>
      </c>
    </row>
    <row r="10" spans="1:2" x14ac:dyDescent="0.45">
      <c r="A10" s="14" t="s">
        <v>12</v>
      </c>
      <c r="B10" s="27">
        <v>1387.77</v>
      </c>
    </row>
    <row r="11" spans="1:2" x14ac:dyDescent="0.45">
      <c r="A11" s="14" t="s">
        <v>19</v>
      </c>
      <c r="B11" s="27">
        <v>3102.2999999999997</v>
      </c>
    </row>
    <row r="12" spans="1:2" x14ac:dyDescent="0.45">
      <c r="A12" s="14" t="s">
        <v>10</v>
      </c>
      <c r="B12" s="27">
        <v>1641.43</v>
      </c>
    </row>
    <row r="13" spans="1:2" x14ac:dyDescent="0.45">
      <c r="A13" s="14" t="s">
        <v>13</v>
      </c>
      <c r="B13" s="27">
        <v>1283.6099999999999</v>
      </c>
    </row>
    <row r="14" spans="1:2" x14ac:dyDescent="0.45">
      <c r="A14" s="14" t="s">
        <v>9</v>
      </c>
      <c r="B14" s="27">
        <v>1203.1099999999999</v>
      </c>
    </row>
    <row r="15" spans="1:2" x14ac:dyDescent="0.45">
      <c r="A15" s="14" t="s">
        <v>61</v>
      </c>
      <c r="B15" s="27">
        <v>19627.88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4AE46-A95C-4F85-A614-A6B5CE0429E8}">
  <sheetPr codeName="Sheet16"/>
  <dimension ref="A2:C9"/>
  <sheetViews>
    <sheetView showGridLines="0" topLeftCell="C2" zoomScale="120" zoomScaleNormal="120" workbookViewId="0">
      <selection activeCell="B13" sqref="B12:B13"/>
    </sheetView>
  </sheetViews>
  <sheetFormatPr defaultColWidth="8.78515625" defaultRowHeight="18.5" x14ac:dyDescent="0.45"/>
  <cols>
    <col min="1" max="1" width="3.5" customWidth="1"/>
    <col min="2" max="2" width="28.2109375" style="14" customWidth="1"/>
    <col min="3" max="3" width="64" customWidth="1"/>
  </cols>
  <sheetData>
    <row r="2" spans="1:3" ht="21" x14ac:dyDescent="0.5">
      <c r="B2" s="3" t="s">
        <v>30</v>
      </c>
    </row>
    <row r="3" spans="1:3" ht="21" x14ac:dyDescent="0.5">
      <c r="A3" s="2"/>
      <c r="B3" s="1" t="s">
        <v>26</v>
      </c>
      <c r="C3" t="s">
        <v>32</v>
      </c>
    </row>
    <row r="4" spans="1:3" x14ac:dyDescent="0.45">
      <c r="B4" s="1" t="s">
        <v>25</v>
      </c>
      <c r="C4" t="s">
        <v>45</v>
      </c>
    </row>
    <row r="5" spans="1:3" x14ac:dyDescent="0.45">
      <c r="B5" s="1" t="s">
        <v>24</v>
      </c>
      <c r="C5" t="s">
        <v>33</v>
      </c>
    </row>
    <row r="6" spans="1:3" x14ac:dyDescent="0.45">
      <c r="B6" s="1" t="s">
        <v>31</v>
      </c>
      <c r="C6" t="s">
        <v>40</v>
      </c>
    </row>
    <row r="7" spans="1:3" x14ac:dyDescent="0.45">
      <c r="B7" s="13"/>
    </row>
    <row r="8" spans="1:3" ht="21" x14ac:dyDescent="0.5">
      <c r="B8" s="3" t="s">
        <v>42</v>
      </c>
    </row>
    <row r="9" spans="1:3" x14ac:dyDescent="0.45">
      <c r="B9" s="12" t="s">
        <v>23</v>
      </c>
      <c r="C9" t="s">
        <v>41</v>
      </c>
    </row>
  </sheetData>
  <hyperlinks>
    <hyperlink ref="B3" r:id="rId1" xr:uid="{83B5AB0A-AB0E-42B8-867D-6249A5617347}"/>
    <hyperlink ref="B5" r:id="rId2" xr:uid="{78C7325F-6CC9-4A39-8392-E4674D08A383}"/>
    <hyperlink ref="B4" r:id="rId3" xr:uid="{68C90B41-C893-414D-B7CB-2B4C70813C01}"/>
    <hyperlink ref="B6" r:id="rId4" xr:uid="{69CCE8FB-A633-4769-A1C6-E98799AFDF1F}"/>
    <hyperlink ref="B9" r:id="rId5" tooltip="Contextures Recommends" xr:uid="{D9F8881F-4EA7-4521-BEA6-D07FED0374F8}"/>
  </hyperlinks>
  <pageMargins left="0.75" right="0.75" top="1" bottom="1" header="0.5" footer="0.5"/>
  <pageSetup orientation="portrait" r:id="rId6"/>
  <headerFooter alignWithMargins="0">
    <oddFooter>&amp;Lwww.contextures.com&amp;R&amp;D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SalesOrders</vt:lpstr>
      <vt:lpstr>Sales Performance Dashboard</vt:lpstr>
      <vt:lpstr>PT Sales</vt:lpstr>
      <vt:lpstr>PT Region</vt:lpstr>
      <vt:lpstr>PT TopItems</vt:lpstr>
      <vt:lpstr>PT TotalUnits</vt:lpstr>
      <vt:lpstr>PT Monthly</vt:lpstr>
      <vt:lpstr>PT Rep</vt:lpstr>
      <vt:lpstr>MyLinks</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Samruddhi Shahane</cp:lastModifiedBy>
  <dcterms:created xsi:type="dcterms:W3CDTF">2004-05-01T18:16:56Z</dcterms:created>
  <dcterms:modified xsi:type="dcterms:W3CDTF">2026-06-01T15:28:57Z</dcterms:modified>
  <cp:category>Excel</cp:category>
</cp:coreProperties>
</file>