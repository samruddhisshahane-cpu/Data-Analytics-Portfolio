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Projects\Exxcel Project\"/>
    </mc:Choice>
  </mc:AlternateContent>
  <xr:revisionPtr revIDLastSave="0" documentId="13_ncr:1_{7D1DAAA1-B2B6-4AA7-AD40-7811FB1ABA7A}" xr6:coauthVersionLast="47" xr6:coauthVersionMax="47" xr10:uidLastSave="{00000000-0000-0000-0000-000000000000}"/>
  <bookViews>
    <workbookView xWindow="-110" yWindow="-110" windowWidth="19420" windowHeight="10300" firstSheet="2" activeTab="5" xr2:uid="{B080432F-EB7C-46DE-9BBE-E6096AF27BE9}"/>
  </bookViews>
  <sheets>
    <sheet name="PT_Monthly Stock Price Trend" sheetId="9" r:id="rId1"/>
    <sheet name="PT_Volume Analysis" sheetId="3" r:id="rId2"/>
    <sheet name="PT_Up &amp; Down Days" sheetId="12" r:id="rId3"/>
    <sheet name="PT_Avg Return" sheetId="8" r:id="rId4"/>
    <sheet name="finance-charts-apple" sheetId="1" r:id="rId5"/>
    <sheet name="Stock Dashboard" sheetId="7" r:id="rId6"/>
  </sheets>
  <definedNames>
    <definedName name="_xlcn.WorksheetConnection_financechartsapple.xlsxTable1" hidden="1">Table1[]</definedName>
    <definedName name="Slicer_Date">#N/A</definedName>
    <definedName name="Slicer_Month">#N/A</definedName>
    <definedName name="Slicer_Yea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inance-charts-appl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9608F1-F80F-496F-A511-4544BBF47C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545A20-6BCF-4A3E-B27D-B1C6A6EEF051}" name="WorksheetConnection_finance-charts-apple.xlsx!Table1" type="102" refreshedVersion="8" minRefreshableVersion="5">
    <extLst>
      <ext xmlns:x15="http://schemas.microsoft.com/office/spreadsheetml/2010/11/main" uri="{DE250136-89BD-433C-8126-D09CA5730AF9}">
        <x15:connection id="Table1" autoDelete="1">
          <x15:rangePr sourceName="_xlcn.WorksheetConnection_financechartsapple.xlsxTable1"/>
        </x15:connection>
      </ext>
    </extLst>
  </connection>
</connections>
</file>

<file path=xl/sharedStrings.xml><?xml version="1.0" encoding="utf-8"?>
<sst xmlns="http://schemas.openxmlformats.org/spreadsheetml/2006/main" count="573" uniqueCount="41">
  <si>
    <t>Date</t>
  </si>
  <si>
    <t>AAPL.Open</t>
  </si>
  <si>
    <t>AAPL.High</t>
  </si>
  <si>
    <t>AAPL.Low</t>
  </si>
  <si>
    <t>AAPL.Close</t>
  </si>
  <si>
    <t>AAPL.Volume</t>
  </si>
  <si>
    <t>AAPL.Adjusted</t>
  </si>
  <si>
    <t>dn</t>
  </si>
  <si>
    <t>mavg</t>
  </si>
  <si>
    <t>up</t>
  </si>
  <si>
    <t>Increasing</t>
  </si>
  <si>
    <t>Decreasing</t>
  </si>
  <si>
    <t>Direction</t>
  </si>
  <si>
    <t>Month</t>
  </si>
  <si>
    <t>Year</t>
  </si>
  <si>
    <t>Price Range</t>
  </si>
  <si>
    <t>Change in stock %</t>
  </si>
  <si>
    <t>Row Labels</t>
  </si>
  <si>
    <t>Jan</t>
  </si>
  <si>
    <t>Feb</t>
  </si>
  <si>
    <t>Mar</t>
  </si>
  <si>
    <t>Apr</t>
  </si>
  <si>
    <t>May</t>
  </si>
  <si>
    <t>Jun</t>
  </si>
  <si>
    <t>Jul</t>
  </si>
  <si>
    <t>Aug</t>
  </si>
  <si>
    <t>Sep</t>
  </si>
  <si>
    <t>Oct</t>
  </si>
  <si>
    <t>Nov</t>
  </si>
  <si>
    <t>Dec</t>
  </si>
  <si>
    <t>Grand Total</t>
  </si>
  <si>
    <t>Average of AAPL.Close</t>
  </si>
  <si>
    <t>Sum of AAPL.Volume</t>
  </si>
  <si>
    <t>Count of Date</t>
  </si>
  <si>
    <t>Trend</t>
  </si>
  <si>
    <t>Down</t>
  </si>
  <si>
    <t>Up</t>
  </si>
  <si>
    <t>Up &amp; Down Days</t>
  </si>
  <si>
    <t>Stock Dashboard</t>
  </si>
  <si>
    <t>Average of Change in stock %</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</si>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</sst>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09]\ #,##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Display"/>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 fontId="0" fillId="0" borderId="0" xfId="0" applyNumberFormat="1"/>
    <xf numFmtId="49" fontId="0" fillId="0" borderId="0" xfId="0" applyNumberFormat="1"/>
    <xf numFmtId="164" fontId="0" fillId="0" borderId="0" xfId="0" applyNumberFormat="1"/>
    <xf numFmtId="1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30" formatCode="@"/>
    </dxf>
    <dxf>
      <numFmt numFmtId="14" formatCode="0.00%"/>
    </dxf>
    <dxf>
      <numFmt numFmtId="14" formatCode="0.00%"/>
    </dxf>
    <dxf>
      <numFmt numFmtId="165" formatCode="[$₹-4009]\ #,##0.000"/>
    </dxf>
    <dxf>
      <numFmt numFmtId="1" formatCode="0"/>
    </dxf>
    <dxf>
      <numFmt numFmtId="165" formatCode="[$₹-4009]\ #,##0.000"/>
    </dxf>
    <dxf>
      <numFmt numFmtId="165" formatCode="[$₹-4009]\ #,##0.000"/>
    </dxf>
    <dxf>
      <numFmt numFmtId="165" formatCode="[$₹-4009]\ #,##0.000"/>
    </dxf>
    <dxf>
      <numFmt numFmtId="165" formatCode="[$₹-4009]\ #,##0.000"/>
    </dxf>
    <dxf>
      <numFmt numFmtId="1" formatCode="0"/>
    </dxf>
    <dxf>
      <numFmt numFmtId="30" formatCode="@"/>
    </dxf>
    <dxf>
      <numFmt numFmtId="164" formatCode="[$-409]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Price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109.2705121025641</c:v>
              </c:pt>
              <c:pt idx="1">
                <c:v>113.80975539024388</c:v>
              </c:pt>
              <c:pt idx="2">
                <c:v>115.11909065909093</c:v>
              </c:pt>
              <c:pt idx="3">
                <c:v>117.01523769047617</c:v>
              </c:pt>
              <c:pt idx="4">
                <c:v>111.45609726829267</c:v>
              </c:pt>
              <c:pt idx="5">
                <c:v>112.21454511363636</c:v>
              </c:pt>
              <c:pt idx="6">
                <c:v>112.58357147619043</c:v>
              </c:pt>
              <c:pt idx="7">
                <c:v>110.39977331818181</c:v>
              </c:pt>
              <c:pt idx="8">
                <c:v>111.82738064285715</c:v>
              </c:pt>
              <c:pt idx="9">
                <c:v>114.50627918604647</c:v>
              </c:pt>
              <c:pt idx="10">
                <c:v>114.06073131707319</c:v>
              </c:pt>
              <c:pt idx="11">
                <c:v>113.00093027906976</c:v>
              </c:pt>
            </c:numLit>
          </c:val>
          <c:smooth val="0"/>
          <c:extLst>
            <c:ext xmlns:c16="http://schemas.microsoft.com/office/drawing/2014/chart" uri="{C3380CC4-5D6E-409C-BE32-E72D297353CC}">
              <c16:uniqueId val="{00000000-4706-4BF5-A477-DF90CD73A1E0}"/>
            </c:ext>
          </c:extLst>
        </c:ser>
        <c:dLbls>
          <c:showLegendKey val="0"/>
          <c:showVal val="0"/>
          <c:showCatName val="0"/>
          <c:showSerName val="0"/>
          <c:showPercent val="0"/>
          <c:showBubbleSize val="0"/>
        </c:dLbls>
        <c:smooth val="0"/>
        <c:axId val="167750527"/>
        <c:axId val="167751007"/>
      </c:lineChart>
      <c:catAx>
        <c:axId val="1677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1007"/>
        <c:crosses val="autoZero"/>
        <c:auto val="1"/>
        <c:lblAlgn val="ctr"/>
        <c:lblOffset val="100"/>
        <c:noMultiLvlLbl val="0"/>
      </c:catAx>
      <c:valAx>
        <c:axId val="16775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[Stock_Performance_Analysysi_Dashboard.xlsx]PT_Volume Analysis!PivotTable9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'PT_Volume Analysis'!$B$3</c:f>
              <c:strCache>
                <c:ptCount val="1"/>
                <c:pt idx="0">
                  <c:v>Total</c:v>
                </c:pt>
              </c:strCache>
            </c:strRef>
          </c:tx>
          <c:spPr>
            <a:ln w="28575" cap="rnd">
              <a:solidFill>
                <a:schemeClr val="accent1"/>
              </a:solidFill>
              <a:round/>
            </a:ln>
            <a:effectLst/>
          </c:spPr>
          <c:marker>
            <c:symbol val="none"/>
          </c:marker>
          <c:cat>
            <c:strRef>
              <c:f>'PT_Volume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'PT_Volume Analysis'!$B$4:$B$16</c:f>
              <c:numCache>
                <c:formatCode>0</c:formatCode>
                <c:ptCount val="12"/>
                <c:pt idx="0">
                  <c:v>1833971800</c:v>
                </c:pt>
                <c:pt idx="1">
                  <c:v>1793556100</c:v>
                </c:pt>
                <c:pt idx="2">
                  <c:v>1884691700</c:v>
                </c:pt>
                <c:pt idx="3">
                  <c:v>1868531700</c:v>
                </c:pt>
                <c:pt idx="4">
                  <c:v>1854470200</c:v>
                </c:pt>
                <c:pt idx="5">
                  <c:v>1657568300</c:v>
                </c:pt>
                <c:pt idx="6">
                  <c:v>1743286800</c:v>
                </c:pt>
                <c:pt idx="7">
                  <c:v>2236106800</c:v>
                </c:pt>
                <c:pt idx="8">
                  <c:v>2174562900</c:v>
                </c:pt>
                <c:pt idx="9">
                  <c:v>1799237400</c:v>
                </c:pt>
                <c:pt idx="10">
                  <c:v>1471995900</c:v>
                </c:pt>
                <c:pt idx="11">
                  <c:v>1530301400</c:v>
                </c:pt>
              </c:numCache>
            </c:numRef>
          </c:val>
          <c:smooth val="0"/>
          <c:extLst>
            <c:ext xmlns:c16="http://schemas.microsoft.com/office/drawing/2014/chart" uri="{C3380CC4-5D6E-409C-BE32-E72D297353CC}">
              <c16:uniqueId val="{00000000-EE7C-4B55-B177-5FC2837BCBD4}"/>
            </c:ext>
          </c:extLst>
        </c:ser>
        <c:dLbls>
          <c:showLegendKey val="0"/>
          <c:showVal val="0"/>
          <c:showCatName val="0"/>
          <c:showSerName val="0"/>
          <c:showPercent val="0"/>
          <c:showBubbleSize val="0"/>
        </c:dLbls>
        <c:smooth val="0"/>
        <c:axId val="212244959"/>
        <c:axId val="212245919"/>
      </c:lineChart>
      <c:catAx>
        <c:axId val="21224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45919"/>
        <c:crosses val="autoZero"/>
        <c:auto val="1"/>
        <c:lblAlgn val="ctr"/>
        <c:lblOffset val="100"/>
        <c:noMultiLvlLbl val="0"/>
      </c:catAx>
      <c:valAx>
        <c:axId val="212245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4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[Stock_Performance_Analysysi_Dashboard.xlsx]PT_Up &amp; Down Days!PivotTable12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'PT_Up &amp; Down Days'!$B$3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8C-4D8B-ADED-22685D6C95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8C-4D8B-ADED-22685D6C95FC}"/>
              </c:ext>
            </c:extLst>
          </c:dPt>
          <c:cat>
            <c:strRef>
              <c:f>'PT_Up &amp; Down Days'!$A$4:$A$6</c:f>
              <c:strCache>
                <c:ptCount val="2"/>
                <c:pt idx="0">
                  <c:v>Down</c:v>
                </c:pt>
                <c:pt idx="1">
                  <c:v>Up</c:v>
                </c:pt>
              </c:strCache>
            </c:strRef>
          </c:cat>
          <c:val>
            <c:numRef>
              <c:f>'PT_Up &amp; Down Days'!$B$4:$B$6</c:f>
              <c:numCache>
                <c:formatCode>General</c:formatCode>
                <c:ptCount val="2"/>
                <c:pt idx="0">
                  <c:v>229</c:v>
                </c:pt>
                <c:pt idx="1">
                  <c:v>277</c:v>
                </c:pt>
              </c:numCache>
            </c:numRef>
          </c:val>
          <c:extLst>
            <c:ext xmlns:c16="http://schemas.microsoft.com/office/drawing/2014/chart" uri="{C3380CC4-5D6E-409C-BE32-E72D297353CC}">
              <c16:uniqueId val="{00000000-3BD1-4DF3-9DF6-5E2A6C37B1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[Stock_Performance_Analysysi_Dashboard.xlsx]PT_Avg Return!PivotTable11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Return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'PT_Avg Return'!$B$3</c:f>
              <c:strCache>
                <c:ptCount val="1"/>
                <c:pt idx="0">
                  <c:v>Total</c:v>
                </c:pt>
              </c:strCache>
            </c:strRef>
          </c:tx>
          <c:spPr>
            <a:ln w="28575" cap="rnd">
              <a:solidFill>
                <a:schemeClr val="accent1"/>
              </a:solidFill>
              <a:round/>
            </a:ln>
            <a:effectLst/>
          </c:spPr>
          <c:marker>
            <c:symbol val="none"/>
          </c:marker>
          <c:cat>
            <c:strRef>
              <c:f>'PT_Avg Return'!$A$4:$A$16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Return'!$B$4:$B$16</c:f>
              <c:numCache>
                <c:formatCode>0.00%</c:formatCode>
                <c:ptCount val="12"/>
                <c:pt idx="0">
                  <c:v>7.8264378338403729E-4</c:v>
                </c:pt>
                <c:pt idx="1">
                  <c:v>2.1278058927685626E-3</c:v>
                </c:pt>
                <c:pt idx="2">
                  <c:v>2.985437357434975E-4</c:v>
                </c:pt>
                <c:pt idx="3">
                  <c:v>-1.1141880803308343E-3</c:v>
                </c:pt>
                <c:pt idx="4">
                  <c:v>2.7528339300322033E-4</c:v>
                </c:pt>
                <c:pt idx="5">
                  <c:v>-6.0718365786765691E-4</c:v>
                </c:pt>
                <c:pt idx="6">
                  <c:v>6.4301506296176716E-5</c:v>
                </c:pt>
                <c:pt idx="7">
                  <c:v>1.203308858600942E-3</c:v>
                </c:pt>
                <c:pt idx="8">
                  <c:v>-2.1802926911518459E-5</c:v>
                </c:pt>
                <c:pt idx="9">
                  <c:v>1.8730445563399636E-3</c:v>
                </c:pt>
                <c:pt idx="10">
                  <c:v>1.8711940022422401E-4</c:v>
                </c:pt>
                <c:pt idx="11">
                  <c:v>-1.0968780631437135E-3</c:v>
                </c:pt>
              </c:numCache>
            </c:numRef>
          </c:val>
          <c:smooth val="0"/>
          <c:extLst>
            <c:ext xmlns:c16="http://schemas.microsoft.com/office/drawing/2014/chart" uri="{C3380CC4-5D6E-409C-BE32-E72D297353CC}">
              <c16:uniqueId val="{00000000-A4D7-45C2-A0BD-45EBCE9788F2}"/>
            </c:ext>
          </c:extLst>
        </c:ser>
        <c:dLbls>
          <c:showLegendKey val="0"/>
          <c:showVal val="0"/>
          <c:showCatName val="0"/>
          <c:showSerName val="0"/>
          <c:showPercent val="0"/>
          <c:showBubbleSize val="0"/>
        </c:dLbls>
        <c:smooth val="0"/>
        <c:axId val="1993041087"/>
        <c:axId val="1993046847"/>
      </c:lineChart>
      <c:catAx>
        <c:axId val="19930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46847"/>
        <c:crosses val="autoZero"/>
        <c:auto val="1"/>
        <c:lblAlgn val="ctr"/>
        <c:lblOffset val="100"/>
        <c:noMultiLvlLbl val="0"/>
      </c:catAx>
      <c:valAx>
        <c:axId val="1993046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Price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109.2705121025641</c:v>
              </c:pt>
              <c:pt idx="1">
                <c:v>113.80975539024388</c:v>
              </c:pt>
              <c:pt idx="2">
                <c:v>115.11909065909093</c:v>
              </c:pt>
              <c:pt idx="3">
                <c:v>117.01523769047617</c:v>
              </c:pt>
              <c:pt idx="4">
                <c:v>111.45609726829267</c:v>
              </c:pt>
              <c:pt idx="5">
                <c:v>112.21454511363636</c:v>
              </c:pt>
              <c:pt idx="6">
                <c:v>112.58357147619043</c:v>
              </c:pt>
              <c:pt idx="7">
                <c:v>110.39977331818181</c:v>
              </c:pt>
              <c:pt idx="8">
                <c:v>111.82738064285715</c:v>
              </c:pt>
              <c:pt idx="9">
                <c:v>114.50627918604647</c:v>
              </c:pt>
              <c:pt idx="10">
                <c:v>114.06073131707319</c:v>
              </c:pt>
              <c:pt idx="11">
                <c:v>113.00093027906976</c:v>
              </c:pt>
            </c:numLit>
          </c:val>
          <c:smooth val="0"/>
          <c:extLst>
            <c:ext xmlns:c16="http://schemas.microsoft.com/office/drawing/2014/chart" uri="{C3380CC4-5D6E-409C-BE32-E72D297353CC}">
              <c16:uniqueId val="{00000000-BED1-4ACC-A1D2-14B0C2B77ED7}"/>
            </c:ext>
          </c:extLst>
        </c:ser>
        <c:dLbls>
          <c:showLegendKey val="0"/>
          <c:showVal val="0"/>
          <c:showCatName val="0"/>
          <c:showSerName val="0"/>
          <c:showPercent val="0"/>
          <c:showBubbleSize val="0"/>
        </c:dLbls>
        <c:smooth val="0"/>
        <c:axId val="167750527"/>
        <c:axId val="167751007"/>
      </c:lineChart>
      <c:catAx>
        <c:axId val="1677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1007"/>
        <c:crosses val="autoZero"/>
        <c:auto val="1"/>
        <c:lblAlgn val="ctr"/>
        <c:lblOffset val="100"/>
        <c:noMultiLvlLbl val="0"/>
      </c:catAx>
      <c:valAx>
        <c:axId val="16775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[Stock_Performance_Analysysi_Dashboard.xlsx]PT_Volume Analysis!PivotTable9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'PT_Volume Analysis'!$B$3</c:f>
              <c:strCache>
                <c:ptCount val="1"/>
                <c:pt idx="0">
                  <c:v>Total</c:v>
                </c:pt>
              </c:strCache>
            </c:strRef>
          </c:tx>
          <c:spPr>
            <a:ln w="28575" cap="rnd">
              <a:solidFill>
                <a:schemeClr val="accent1"/>
              </a:solidFill>
              <a:round/>
            </a:ln>
            <a:effectLst/>
          </c:spPr>
          <c:marker>
            <c:symbol val="none"/>
          </c:marker>
          <c:cat>
            <c:strRef>
              <c:f>'PT_Volume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'PT_Volume Analysis'!$B$4:$B$16</c:f>
              <c:numCache>
                <c:formatCode>0</c:formatCode>
                <c:ptCount val="12"/>
                <c:pt idx="0">
                  <c:v>1833971800</c:v>
                </c:pt>
                <c:pt idx="1">
                  <c:v>1793556100</c:v>
                </c:pt>
                <c:pt idx="2">
                  <c:v>1884691700</c:v>
                </c:pt>
                <c:pt idx="3">
                  <c:v>1868531700</c:v>
                </c:pt>
                <c:pt idx="4">
                  <c:v>1854470200</c:v>
                </c:pt>
                <c:pt idx="5">
                  <c:v>1657568300</c:v>
                </c:pt>
                <c:pt idx="6">
                  <c:v>1743286800</c:v>
                </c:pt>
                <c:pt idx="7">
                  <c:v>2236106800</c:v>
                </c:pt>
                <c:pt idx="8">
                  <c:v>2174562900</c:v>
                </c:pt>
                <c:pt idx="9">
                  <c:v>1799237400</c:v>
                </c:pt>
                <c:pt idx="10">
                  <c:v>1471995900</c:v>
                </c:pt>
                <c:pt idx="11">
                  <c:v>1530301400</c:v>
                </c:pt>
              </c:numCache>
            </c:numRef>
          </c:val>
          <c:smooth val="0"/>
          <c:extLst>
            <c:ext xmlns:c16="http://schemas.microsoft.com/office/drawing/2014/chart" uri="{C3380CC4-5D6E-409C-BE32-E72D297353CC}">
              <c16:uniqueId val="{00000000-F1B0-476C-B56B-D56E87A385E3}"/>
            </c:ext>
          </c:extLst>
        </c:ser>
        <c:dLbls>
          <c:showLegendKey val="0"/>
          <c:showVal val="0"/>
          <c:showCatName val="0"/>
          <c:showSerName val="0"/>
          <c:showPercent val="0"/>
          <c:showBubbleSize val="0"/>
        </c:dLbls>
        <c:smooth val="0"/>
        <c:axId val="212244959"/>
        <c:axId val="212245919"/>
      </c:lineChart>
      <c:catAx>
        <c:axId val="21224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45919"/>
        <c:crosses val="autoZero"/>
        <c:auto val="1"/>
        <c:lblAlgn val="ctr"/>
        <c:lblOffset val="100"/>
        <c:noMultiLvlLbl val="0"/>
      </c:catAx>
      <c:valAx>
        <c:axId val="212245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4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[Stock_Performance_Analysysi_Dashboard.xlsx]PT_Up &amp; Down Days!PivotTable12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'PT_Up &amp; Down Days'!$B$3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94-46ED-A339-4FDE7E2F76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94-46ED-A339-4FDE7E2F761E}"/>
              </c:ext>
            </c:extLst>
          </c:dPt>
          <c:cat>
            <c:strRef>
              <c:f>'PT_Up &amp; Down Days'!$A$4:$A$6</c:f>
              <c:strCache>
                <c:ptCount val="2"/>
                <c:pt idx="0">
                  <c:v>Down</c:v>
                </c:pt>
                <c:pt idx="1">
                  <c:v>Up</c:v>
                </c:pt>
              </c:strCache>
            </c:strRef>
          </c:cat>
          <c:val>
            <c:numRef>
              <c:f>'PT_Up &amp; Down Days'!$B$4:$B$6</c:f>
              <c:numCache>
                <c:formatCode>General</c:formatCode>
                <c:ptCount val="2"/>
                <c:pt idx="0">
                  <c:v>229</c:v>
                </c:pt>
                <c:pt idx="1">
                  <c:v>277</c:v>
                </c:pt>
              </c:numCache>
            </c:numRef>
          </c:val>
          <c:extLst>
            <c:ext xmlns:c16="http://schemas.microsoft.com/office/drawing/2014/chart" uri="{C3380CC4-5D6E-409C-BE32-E72D297353CC}">
              <c16:uniqueId val="{00000004-B594-46ED-A339-4FDE7E2F76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[Stock_Performance_Analysysi_Dashboard.xlsx]PT_Avg Return!PivotTable11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Return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'PT_Avg Return'!$B$3</c:f>
              <c:strCache>
                <c:ptCount val="1"/>
                <c:pt idx="0">
                  <c:v>Total</c:v>
                </c:pt>
              </c:strCache>
            </c:strRef>
          </c:tx>
          <c:spPr>
            <a:ln w="28575" cap="rnd">
              <a:solidFill>
                <a:schemeClr val="accent1"/>
              </a:solidFill>
              <a:round/>
            </a:ln>
            <a:effectLst/>
          </c:spPr>
          <c:marker>
            <c:symbol val="none"/>
          </c:marker>
          <c:cat>
            <c:strRef>
              <c:f>'PT_Avg Return'!$A$4:$A$16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Return'!$B$4:$B$16</c:f>
              <c:numCache>
                <c:formatCode>0.00%</c:formatCode>
                <c:ptCount val="12"/>
                <c:pt idx="0">
                  <c:v>7.8264378338403729E-4</c:v>
                </c:pt>
                <c:pt idx="1">
                  <c:v>2.1278058927685626E-3</c:v>
                </c:pt>
                <c:pt idx="2">
                  <c:v>2.985437357434975E-4</c:v>
                </c:pt>
                <c:pt idx="3">
                  <c:v>-1.1141880803308343E-3</c:v>
                </c:pt>
                <c:pt idx="4">
                  <c:v>2.7528339300322033E-4</c:v>
                </c:pt>
                <c:pt idx="5">
                  <c:v>-6.0718365786765691E-4</c:v>
                </c:pt>
                <c:pt idx="6">
                  <c:v>6.4301506296176716E-5</c:v>
                </c:pt>
                <c:pt idx="7">
                  <c:v>1.203308858600942E-3</c:v>
                </c:pt>
                <c:pt idx="8">
                  <c:v>-2.1802926911518459E-5</c:v>
                </c:pt>
                <c:pt idx="9">
                  <c:v>1.8730445563399636E-3</c:v>
                </c:pt>
                <c:pt idx="10">
                  <c:v>1.8711940022422401E-4</c:v>
                </c:pt>
                <c:pt idx="11">
                  <c:v>-1.0968780631437135E-3</c:v>
                </c:pt>
              </c:numCache>
            </c:numRef>
          </c:val>
          <c:smooth val="0"/>
          <c:extLst>
            <c:ext xmlns:c16="http://schemas.microsoft.com/office/drawing/2014/chart" uri="{C3380CC4-5D6E-409C-BE32-E72D297353CC}">
              <c16:uniqueId val="{00000000-D80F-405F-BCB4-078FFD81DB3B}"/>
            </c:ext>
          </c:extLst>
        </c:ser>
        <c:dLbls>
          <c:showLegendKey val="0"/>
          <c:showVal val="0"/>
          <c:showCatName val="0"/>
          <c:showSerName val="0"/>
          <c:showPercent val="0"/>
          <c:showBubbleSize val="0"/>
        </c:dLbls>
        <c:smooth val="0"/>
        <c:axId val="1993041087"/>
        <c:axId val="1993046847"/>
      </c:lineChart>
      <c:catAx>
        <c:axId val="19930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46847"/>
        <c:crosses val="autoZero"/>
        <c:auto val="1"/>
        <c:lblAlgn val="ctr"/>
        <c:lblOffset val="100"/>
        <c:noMultiLvlLbl val="0"/>
      </c:catAx>
      <c:valAx>
        <c:axId val="1993046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16</xdr:row>
      <xdr:rowOff>165100</xdr:rowOff>
    </xdr:to>
    <xdr:graphicFrame macro="">
      <xdr:nvGraphicFramePr>
        <xdr:cNvPr id="2" name="Chart 1">
          <a:extLst>
            <a:ext uri="{FF2B5EF4-FFF2-40B4-BE49-F238E27FC236}">
              <a16:creationId xmlns:a16="http://schemas.microsoft.com/office/drawing/2014/main" id="{8684BFEB-439B-494E-B96A-8B42C2224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422275</xdr:colOff>
      <xdr:row>2</xdr:row>
      <xdr:rowOff>79375</xdr:rowOff>
    </xdr:from>
    <xdr:to>
      <xdr:col>9</xdr:col>
      <xdr:colOff>409575</xdr:colOff>
      <xdr:row>17</xdr:row>
      <xdr:rowOff>60325</xdr:rowOff>
    </xdr:to>
    <xdr:graphicFrame macro="">
      <xdr:nvGraphicFramePr>
        <xdr:cNvPr id="3" name="Chart 2">
          <a:extLst>
            <a:ext uri="{FF2B5EF4-FFF2-40B4-BE49-F238E27FC236}">
              <a16:creationId xmlns:a16="http://schemas.microsoft.com/office/drawing/2014/main" id="{4EED9195-3C3C-47FF-85F0-0E97F7543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34925</xdr:colOff>
      <xdr:row>2</xdr:row>
      <xdr:rowOff>79375</xdr:rowOff>
    </xdr:from>
    <xdr:to>
      <xdr:col>12</xdr:col>
      <xdr:colOff>339725</xdr:colOff>
      <xdr:row>17</xdr:row>
      <xdr:rowOff>60325</xdr:rowOff>
    </xdr:to>
    <xdr:graphicFrame macro="">
      <xdr:nvGraphicFramePr>
        <xdr:cNvPr id="2" name="Chart 1">
          <a:extLst>
            <a:ext uri="{FF2B5EF4-FFF2-40B4-BE49-F238E27FC236}">
              <a16:creationId xmlns:a16="http://schemas.microsoft.com/office/drawing/2014/main" id="{E22FB95C-64F5-01B1-1E3B-C4BF1F580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485775</xdr:colOff>
      <xdr:row>2</xdr:row>
      <xdr:rowOff>79375</xdr:rowOff>
    </xdr:from>
    <xdr:to>
      <xdr:col>9</xdr:col>
      <xdr:colOff>130175</xdr:colOff>
      <xdr:row>17</xdr:row>
      <xdr:rowOff>60325</xdr:rowOff>
    </xdr:to>
    <xdr:graphicFrame macro="">
      <xdr:nvGraphicFramePr>
        <xdr:cNvPr id="3" name="Chart 2">
          <a:extLst>
            <a:ext uri="{FF2B5EF4-FFF2-40B4-BE49-F238E27FC236}">
              <a16:creationId xmlns:a16="http://schemas.microsoft.com/office/drawing/2014/main" id="{6C08B4DA-A144-AEC2-105C-40F393A0B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4</xdr:row>
      <xdr:rowOff>0</xdr:rowOff>
    </xdr:from>
    <xdr:to>
      <xdr:col>3</xdr:col>
      <xdr:colOff>552450</xdr:colOff>
      <xdr:row>8</xdr:row>
      <xdr:rowOff>152400</xdr:rowOff>
    </xdr:to>
    <xdr:sp macro="" textlink="">
      <xdr:nvSpPr>
        <xdr:cNvPr id="2" name="Rectangle: Rounded Corners 1">
          <a:extLst>
            <a:ext uri="{FF2B5EF4-FFF2-40B4-BE49-F238E27FC236}">
              <a16:creationId xmlns:a16="http://schemas.microsoft.com/office/drawing/2014/main" id="{84797AD4-AE1F-8F93-77E4-2B2E9B93100D}"/>
            </a:ext>
          </a:extLst>
        </xdr:cNvPr>
        <xdr:cNvSpPr/>
      </xdr:nvSpPr>
      <xdr:spPr>
        <a:xfrm>
          <a:off x="628650" y="819150"/>
          <a:ext cx="1752600" cy="889000"/>
        </a:xfrm>
        <a:prstGeom prst="roundRect">
          <a:avLst/>
        </a:prstGeom>
        <a:solidFill>
          <a:schemeClr val="tx2">
            <a:lumMod val="10000"/>
            <a:lumOff val="90000"/>
          </a:schemeClr>
        </a:solidFill>
        <a:ln>
          <a:solidFill>
            <a:schemeClr val="tx1"/>
          </a:solidFill>
        </a:ln>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chemeClr val="tx1"/>
              </a:solidFill>
            </a:rPr>
            <a:t>Average Closing Price</a:t>
          </a:r>
        </a:p>
        <a:p>
          <a:pPr algn="ctr"/>
          <a:r>
            <a:rPr lang="en-US" sz="1600" b="1" i="0" u="none" strike="noStrike">
              <a:solidFill>
                <a:schemeClr val="tx2"/>
              </a:solidFill>
              <a:effectLst/>
              <a:latin typeface="+mn-lt"/>
              <a:ea typeface="+mn-ea"/>
              <a:cs typeface="+mn-cs"/>
            </a:rPr>
            <a:t>₹ 112.958</a:t>
          </a:r>
          <a:r>
            <a:rPr lang="en-US" sz="1600">
              <a:solidFill>
                <a:schemeClr val="tx2"/>
              </a:solidFill>
              <a:effectLst/>
            </a:rPr>
            <a:t> </a:t>
          </a:r>
          <a:endParaRPr lang="en-US" sz="1600" b="1">
            <a:solidFill>
              <a:schemeClr val="tx2"/>
            </a:solidFill>
          </a:endParaRPr>
        </a:p>
      </xdr:txBody>
    </xdr:sp>
    <xdr:clientData/>
  </xdr:twoCellAnchor>
  <xdr:twoCellAnchor>
    <xdr:from>
      <xdr:col>5</xdr:col>
      <xdr:colOff>0</xdr:colOff>
      <xdr:row>4</xdr:row>
      <xdr:rowOff>0</xdr:rowOff>
    </xdr:from>
    <xdr:to>
      <xdr:col>7</xdr:col>
      <xdr:colOff>533400</xdr:colOff>
      <xdr:row>8</xdr:row>
      <xdr:rowOff>152400</xdr:rowOff>
    </xdr:to>
    <xdr:sp macro="" textlink="">
      <xdr:nvSpPr>
        <xdr:cNvPr id="3" name="Rectangle: Rounded Corners 2">
          <a:extLst>
            <a:ext uri="{FF2B5EF4-FFF2-40B4-BE49-F238E27FC236}">
              <a16:creationId xmlns:a16="http://schemas.microsoft.com/office/drawing/2014/main" id="{3DD0E462-F6BB-4022-AB97-FB4F57655C5E}"/>
            </a:ext>
          </a:extLst>
        </xdr:cNvPr>
        <xdr:cNvSpPr/>
      </xdr:nvSpPr>
      <xdr:spPr>
        <a:xfrm>
          <a:off x="3048000" y="635000"/>
          <a:ext cx="1752600" cy="889000"/>
        </a:xfrm>
        <a:prstGeom prst="roundRect">
          <a:avLst/>
        </a:prstGeom>
        <a:solidFill>
          <a:schemeClr val="tx2">
            <a:lumMod val="10000"/>
            <a:lumOff val="90000"/>
          </a:schemeClr>
        </a:solidFill>
        <a:ln>
          <a:solidFill>
            <a:schemeClr val="tx1"/>
          </a:solidFill>
        </a:ln>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chemeClr val="tx1"/>
              </a:solidFill>
            </a:rPr>
            <a:t>Total</a:t>
          </a:r>
          <a:r>
            <a:rPr lang="en-US" sz="1200" b="1" baseline="0">
              <a:solidFill>
                <a:schemeClr val="tx1"/>
              </a:solidFill>
            </a:rPr>
            <a:t> </a:t>
          </a:r>
          <a:r>
            <a:rPr lang="en-US" sz="1200" b="1">
              <a:solidFill>
                <a:schemeClr val="tx1"/>
              </a:solidFill>
            </a:rPr>
            <a:t>Volume </a:t>
          </a:r>
          <a:r>
            <a:rPr lang="en-US" sz="1600" b="1" i="0" u="none" strike="noStrike">
              <a:solidFill>
                <a:schemeClr val="tx2"/>
              </a:solidFill>
              <a:effectLst/>
              <a:latin typeface="+mn-lt"/>
              <a:ea typeface="+mn-ea"/>
              <a:cs typeface="+mn-cs"/>
            </a:rPr>
            <a:t>21848281000</a:t>
          </a:r>
          <a:r>
            <a:rPr lang="en-US" sz="1200">
              <a:effectLst/>
            </a:rPr>
            <a:t> </a:t>
          </a:r>
          <a:endParaRPr lang="en-US" sz="1200" b="1">
            <a:solidFill>
              <a:schemeClr val="tx1"/>
            </a:solidFill>
          </a:endParaRPr>
        </a:p>
      </xdr:txBody>
    </xdr:sp>
    <xdr:clientData/>
  </xdr:twoCellAnchor>
  <xdr:twoCellAnchor>
    <xdr:from>
      <xdr:col>9</xdr:col>
      <xdr:colOff>0</xdr:colOff>
      <xdr:row>4</xdr:row>
      <xdr:rowOff>0</xdr:rowOff>
    </xdr:from>
    <xdr:to>
      <xdr:col>11</xdr:col>
      <xdr:colOff>533400</xdr:colOff>
      <xdr:row>8</xdr:row>
      <xdr:rowOff>152400</xdr:rowOff>
    </xdr:to>
    <xdr:sp macro="" textlink="">
      <xdr:nvSpPr>
        <xdr:cNvPr id="4" name="Rectangle: Rounded Corners 3">
          <a:extLst>
            <a:ext uri="{FF2B5EF4-FFF2-40B4-BE49-F238E27FC236}">
              <a16:creationId xmlns:a16="http://schemas.microsoft.com/office/drawing/2014/main" id="{477DE3A6-52D7-4449-9742-86B69FF33C80}"/>
            </a:ext>
          </a:extLst>
        </xdr:cNvPr>
        <xdr:cNvSpPr/>
      </xdr:nvSpPr>
      <xdr:spPr>
        <a:xfrm>
          <a:off x="5486400" y="819150"/>
          <a:ext cx="1752600" cy="889000"/>
        </a:xfrm>
        <a:prstGeom prst="roundRect">
          <a:avLst/>
        </a:prstGeom>
        <a:solidFill>
          <a:schemeClr val="tx2">
            <a:lumMod val="10000"/>
            <a:lumOff val="90000"/>
          </a:schemeClr>
        </a:solidFill>
        <a:ln>
          <a:solidFill>
            <a:schemeClr val="tx1"/>
          </a:solidFill>
        </a:ln>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chemeClr val="tx1"/>
              </a:solidFill>
            </a:rPr>
            <a:t>Avg</a:t>
          </a:r>
          <a:r>
            <a:rPr lang="en-US" sz="1200" b="1" baseline="0">
              <a:solidFill>
                <a:schemeClr val="tx1"/>
              </a:solidFill>
            </a:rPr>
            <a:t> Daily Return</a:t>
          </a:r>
        </a:p>
        <a:p>
          <a:pPr algn="ctr"/>
          <a:r>
            <a:rPr lang="en-US" sz="1400" b="1" i="0" u="none" strike="noStrike">
              <a:solidFill>
                <a:schemeClr val="tx2"/>
              </a:solidFill>
              <a:effectLst/>
              <a:latin typeface="+mn-lt"/>
              <a:ea typeface="+mn-ea"/>
              <a:cs typeface="+mn-cs"/>
            </a:rPr>
            <a:t>0.03%</a:t>
          </a:r>
          <a:r>
            <a:rPr lang="en-US" sz="1600" b="1">
              <a:solidFill>
                <a:schemeClr val="tx2"/>
              </a:solidFill>
              <a:effectLst/>
            </a:rPr>
            <a:t> </a:t>
          </a:r>
          <a:endParaRPr lang="en-US" sz="1600" b="1">
            <a:solidFill>
              <a:schemeClr val="tx2"/>
            </a:solidFill>
          </a:endParaRPr>
        </a:p>
      </xdr:txBody>
    </xdr:sp>
    <xdr:clientData/>
  </xdr:twoCellAnchor>
  <xdr:twoCellAnchor>
    <xdr:from>
      <xdr:col>1</xdr:col>
      <xdr:colOff>0</xdr:colOff>
      <xdr:row>11</xdr:row>
      <xdr:rowOff>0</xdr:rowOff>
    </xdr:from>
    <xdr:to>
      <xdr:col>8</xdr:col>
      <xdr:colOff>304800</xdr:colOff>
      <xdr:row>25</xdr:row>
      <xdr:rowOff>165100</xdr:rowOff>
    </xdr:to>
    <xdr:graphicFrame macro="">
      <xdr:nvGraphicFramePr>
        <xdr:cNvPr id="11" name="Chart 10">
          <a:extLst>
            <a:ext uri="{FF2B5EF4-FFF2-40B4-BE49-F238E27FC236}">
              <a16:creationId xmlns:a16="http://schemas.microsoft.com/office/drawing/2014/main" id="{3F73ACE0-9642-425E-AC05-0C1FCCEE0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16</xdr:col>
      <xdr:colOff>304800</xdr:colOff>
      <xdr:row>25</xdr:row>
      <xdr:rowOff>165100</xdr:rowOff>
    </xdr:to>
    <xdr:graphicFrame macro="">
      <xdr:nvGraphicFramePr>
        <xdr:cNvPr id="12" name="Chart 11">
          <a:extLst>
            <a:ext uri="{FF2B5EF4-FFF2-40B4-BE49-F238E27FC236}">
              <a16:creationId xmlns:a16="http://schemas.microsoft.com/office/drawing/2014/main" id="{753DD090-9E44-4A5C-A1CF-82BE7B116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0</xdr:rowOff>
    </xdr:from>
    <xdr:to>
      <xdr:col>8</xdr:col>
      <xdr:colOff>304800</xdr:colOff>
      <xdr:row>42</xdr:row>
      <xdr:rowOff>165100</xdr:rowOff>
    </xdr:to>
    <xdr:graphicFrame macro="">
      <xdr:nvGraphicFramePr>
        <xdr:cNvPr id="13" name="Chart 12">
          <a:extLst>
            <a:ext uri="{FF2B5EF4-FFF2-40B4-BE49-F238E27FC236}">
              <a16:creationId xmlns:a16="http://schemas.microsoft.com/office/drawing/2014/main" id="{9FE83BF7-7D2C-4809-9C06-C5000C3E9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16</xdr:col>
      <xdr:colOff>304800</xdr:colOff>
      <xdr:row>42</xdr:row>
      <xdr:rowOff>165100</xdr:rowOff>
    </xdr:to>
    <xdr:graphicFrame macro="">
      <xdr:nvGraphicFramePr>
        <xdr:cNvPr id="14" name="Chart 13">
          <a:extLst>
            <a:ext uri="{FF2B5EF4-FFF2-40B4-BE49-F238E27FC236}">
              <a16:creationId xmlns:a16="http://schemas.microsoft.com/office/drawing/2014/main" id="{425D4A51-2822-45A4-90CC-85442EA84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44</xdr:row>
      <xdr:rowOff>0</xdr:rowOff>
    </xdr:from>
    <xdr:to>
      <xdr:col>4</xdr:col>
      <xdr:colOff>0</xdr:colOff>
      <xdr:row>58</xdr:row>
      <xdr:rowOff>41272</xdr:rowOff>
    </xdr:to>
    <mc:AlternateContent xmlns:mc="http://schemas.openxmlformats.org/markup-compatibility/2006" xmlns:a14="http://schemas.microsoft.com/office/drawing/2010/main">
      <mc:Choice Requires="a14">
        <xdr:graphicFrame macro="">
          <xdr:nvGraphicFramePr>
            <xdr:cNvPr id="15" name="Date">
              <a:extLst>
                <a:ext uri="{FF2B5EF4-FFF2-40B4-BE49-F238E27FC236}">
                  <a16:creationId xmlns:a16="http://schemas.microsoft.com/office/drawing/2014/main" id="{6C268A54-B70B-4B31-B033-3437AB8EFF1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09600" y="8185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44</xdr:row>
      <xdr:rowOff>0</xdr:rowOff>
    </xdr:from>
    <xdr:to>
      <xdr:col>9</xdr:col>
      <xdr:colOff>0</xdr:colOff>
      <xdr:row>58</xdr:row>
      <xdr:rowOff>41272</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FA9B664A-2980-4AC4-BDF6-790AA1E85D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57600" y="8185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44</xdr:row>
      <xdr:rowOff>0</xdr:rowOff>
    </xdr:from>
    <xdr:to>
      <xdr:col>14</xdr:col>
      <xdr:colOff>0</xdr:colOff>
      <xdr:row>58</xdr:row>
      <xdr:rowOff>41272</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81277494-A038-4ADD-9B55-69F492E7CC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05600" y="8185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ruddhi Shahane" refreshedDate="46112.748275231483" createdVersion="8" refreshedVersion="8" minRefreshableVersion="3" recordCount="506" xr:uid="{9A14380E-5444-428C-9190-1D0772C2DA8F}">
  <cacheSource type="worksheet">
    <worksheetSource name="Table1"/>
  </cacheSource>
  <cacheFields count="18">
    <cacheField name="Date" numFmtId="164">
      <sharedItems containsSemiMixedTypes="0" containsNonDate="0" containsDate="1" containsString="0" minDate="2015-02-17T00:00:00" maxDate="2017-02-17T00:00:00" count="506">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5-02-17T00:00:00"/>
        <d v="2015-02-18T00:00:00"/>
        <d v="2015-02-19T00:00:00"/>
        <d v="2015-02-20T00:00:00"/>
        <d v="2015-02-23T00:00:00"/>
        <d v="2015-02-24T00:00:00"/>
        <d v="2015-02-25T00:00:00"/>
        <d v="2015-02-26T00:00:00"/>
        <d v="2015-02-27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7-02-01T00:00:00"/>
        <d v="2017-02-02T00:00:00"/>
        <d v="2017-02-03T00:00:00"/>
        <d v="2017-02-06T00:00:00"/>
        <d v="2017-02-07T00:00:00"/>
        <d v="2017-02-08T00:00:00"/>
        <d v="2017-02-09T00:00:00"/>
        <d v="2017-02-10T00:00:00"/>
        <d v="2017-02-13T00:00:00"/>
        <d v="2017-02-14T00:00:00"/>
        <d v="2017-02-15T00:00:00"/>
        <d v="2017-02-16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sharedItems>
      <fieldGroup par="17"/>
    </cacheField>
    <cacheField name="Month" numFmtId="49">
      <sharedItems count="12">
        <s v="Jan"/>
        <s v="Feb"/>
        <s v="Mar"/>
        <s v="Apr"/>
        <s v="May"/>
        <s v="Jun"/>
        <s v="Jul"/>
        <s v="Aug"/>
        <s v="Sep"/>
        <s v="Oct"/>
        <s v="Nov"/>
        <s v="Dec"/>
      </sharedItems>
    </cacheField>
    <cacheField name="Year" numFmtId="1">
      <sharedItems containsSemiMixedTypes="0" containsString="0" containsNumber="1" containsInteger="1" minValue="2015" maxValue="2017" count="3">
        <n v="2016"/>
        <n v="2017"/>
        <n v="2015"/>
      </sharedItems>
    </cacheField>
    <cacheField name="AAPL.Open" numFmtId="165">
      <sharedItems containsSemiMixedTypes="0" containsString="0" containsNumber="1" minValue="90" maxValue="135.66999799999999"/>
    </cacheField>
    <cacheField name="AAPL.High" numFmtId="165">
      <sharedItems containsSemiMixedTypes="0" containsString="0" containsNumber="1" minValue="91.669998000000007" maxValue="136.270004"/>
    </cacheField>
    <cacheField name="AAPL.Low" numFmtId="165">
      <sharedItems containsSemiMixedTypes="0" containsString="0" containsNumber="1" minValue="89.470000999999996" maxValue="134.83999600000001"/>
    </cacheField>
    <cacheField name="AAPL.Close" numFmtId="165">
      <sharedItems containsSemiMixedTypes="0" containsString="0" containsNumber="1" minValue="90.339995999999999" maxValue="135.509995"/>
    </cacheField>
    <cacheField name="AAPL.Volume" numFmtId="1">
      <sharedItems containsSemiMixedTypes="0" containsString="0" containsNumber="1" containsInteger="1" minValue="11475900" maxValue="162206300"/>
    </cacheField>
    <cacheField name="AAPL.Adjusted" numFmtId="0">
      <sharedItems containsSemiMixedTypes="0" containsString="0" containsNumber="1" minValue="89.008369999999999" maxValue="135.509995"/>
    </cacheField>
    <cacheField name="dn" numFmtId="0">
      <sharedItems containsSemiMixedTypes="0" containsString="0" containsNumber="1" minValue="85.508858480000001" maxValue="127.2892578"/>
    </cacheField>
    <cacheField name="mavg" numFmtId="0">
      <sharedItems containsSemiMixedTypes="0" containsString="0" containsNumber="1" minValue="94.04716603" maxValue="129.845"/>
    </cacheField>
    <cacheField name="up" numFmtId="0">
      <sharedItems containsSemiMixedTypes="0" containsString="0" containsNumber="1" minValue="97.572721250000001" maxValue="138.80536620000001"/>
    </cacheField>
    <cacheField name="Price Range" numFmtId="165">
      <sharedItems containsSemiMixedTypes="0" containsString="0" containsNumber="1" minValue="-7.370002999999997" maxValue="8.25" count="439">
        <n v="2.7399970000000025"/>
        <n v="-3.0400010000000037"/>
        <n v="0.13999900000000309"/>
        <n v="-2.2300030000000106"/>
        <n v="-1.5900040000000075"/>
        <n v="-0.44000199999999268"/>
        <n v="-0.59000400000000752"/>
        <n v="-2.9300009999999901"/>
        <n v="1.5599980000000073"/>
        <n v="0.93000000000000682"/>
        <n v="-1.75"/>
        <n v="1.6900030000000044"/>
        <n v="-0.75999499999998932"/>
        <n v="2.7900010000000037"/>
        <n v="-2.0799949999999967"/>
        <n v="5.9997999999993112E-2"/>
        <n v="-2.620002999999997"/>
        <n v="0.29999499999999557"/>
        <n v="2.5499949999999956"/>
        <n v="0.34999899999999684"/>
        <n v="0.16999900000000423"/>
        <n v="0.69000299999999015"/>
        <n v="1.130004999999997"/>
        <n v="1.0400010000000037"/>
        <n v="0.34000399999999331"/>
        <n v="1.0100020000000001"/>
        <n v="0.34999799999999937"/>
        <n v="-6.9999999999993179E-2"/>
        <n v="1.6600040000000007"/>
        <n v="-1.0002000000000066E-2"/>
        <n v="0.37999700000000303"/>
        <n v="-0.44999699999999621"/>
        <n v="8.0001999999993245E-2"/>
        <n v="0.41999799999999254"/>
        <n v="1.4599989999999963"/>
        <n v="0.27000400000000013"/>
        <n v="-0.19000200000000689"/>
        <n v="0.69999699999999621"/>
        <n v="0.19999599999999873"/>
        <n v="1.0900039999999933"/>
        <n v="-2.9999000000003662E-2"/>
        <n v="0.88000500000001125"/>
        <n v="2.9799959999999999"/>
        <n v="-0.77000400000000013"/>
        <n v="-2.7700049999999976"/>
        <n v="1.6300049999999828"/>
        <n v="-1.5399930000000097"/>
        <n v="-4.0000999999989517E-2"/>
        <n v="-0.93999500000001035"/>
        <n v="1.3499979999999994"/>
        <n v="0.73999700000000246"/>
        <n v="-2.5"/>
        <n v="1.880004999999997"/>
        <n v="-1.6500010000000032"/>
        <n v="-9.0004000000007522E-2"/>
        <n v="-0.20000400000000695"/>
        <n v="1.6200019999999995"/>
        <n v="1.4500049999999902"/>
        <n v="-2.5799939999999992"/>
        <n v="4.0001000000003728E-2"/>
        <n v="0.56999900000000991"/>
        <n v="-1.7099999999999937"/>
        <n v="2.119995000000003"/>
        <n v="0.70999899999999627"/>
        <n v="-0.2899929999999955"/>
        <n v="-0.16999899999999002"/>
        <n v="1.7200009999999963"/>
        <n v="0.54999600000000726"/>
        <n v="0.77000400000000013"/>
        <n v="1.1599879999999985"/>
        <n v="0.99000599999999395"/>
        <n v="0.68998700000000213"/>
        <n v="-0.34001200000000154"/>
        <n v="0.20999100000000226"/>
        <n v="1.5500030000000038"/>
        <n v="-1.0008999999996604E-2"/>
        <n v="-0.31999199999998496"/>
        <n v="-0.16000399999998649"/>
        <n v="0.39999400000002083"/>
        <n v="-0.56001299999999787"/>
        <n v="-2.1699980000000068"/>
        <n v="-1.799995999999993"/>
        <n v="-0.81999999999999318"/>
        <n v="-1.9000020000000006"/>
        <n v="-2.5100020000000001"/>
        <n v="2.1399990000000031"/>
        <n v="-0.81000600000000134"/>
        <n v="1.0699999999999932"/>
        <n v="1.1399990000000031"/>
        <n v="1.4700009999999963"/>
        <n v="-1.25"/>
        <n v="-2.3499979999999994"/>
        <n v="8.9995999999999299E-2"/>
        <n v="-0.54000099999998952"/>
        <n v="-3.1600040000000007"/>
        <n v="1.4799959999999999"/>
        <n v="-1.3199999999999932"/>
        <n v="2.3199999999999932"/>
        <n v="-1.6599959999999925"/>
        <n v="2.879997000000003"/>
        <n v="0.23999799999999993"/>
        <n v="0.91999800000000675"/>
        <n v="0.63999900000000309"/>
        <n v="-0.51999600000000612"/>
        <n v="0.25"/>
        <n v="-0.18999499999999614"/>
        <n v="-0.24000599999999395"/>
        <n v="2.0004000000000133E-2"/>
        <n v="0.60999300000000289"/>
        <n v="0.62000299999999697"/>
        <n v="1.3599999999999994"/>
        <n v="0.2800060000000002"/>
        <n v="-0.41999799999999254"/>
        <n v="-1.999600000000612E-2"/>
        <n v="-0.35000599999999338"/>
        <n v="0.19999700000001042"/>
        <n v="-0.80999799999999311"/>
        <n v="0.90999599999999248"/>
        <n v="-0.7300029999999964"/>
        <n v="-0.56999999999999318"/>
        <n v="0.29000099999998952"/>
        <n v="-1.629997000000003"/>
        <n v="-0.25"/>
        <n v="0.70999999999999375"/>
        <n v="1.1500010000000032"/>
        <n v="-1.5199969999999894"/>
        <n v="-0.69999699999999621"/>
        <n v="0.36999500000000296"/>
        <n v="-0.11000099999999691"/>
        <n v="-0.80000300000000379"/>
        <n v="2.0299980000000062"/>
        <n v="-1.1900020000000069"/>
        <n v="1.6299969999999888"/>
        <n v="1.3699949999999887"/>
        <n v="-0.21000599999999281"/>
        <n v="0.33999599999998509"/>
        <n v="-3.900008999999983"/>
        <n v="-1.5200049999999976"/>
        <n v="-3.4899969999999882"/>
        <n v="1.2099989999999963"/>
        <n v="0.70000499999999022"/>
        <n v="0.29999599999999305"/>
        <n v="0.72999599999999987"/>
        <n v="-1.4099959999999925"/>
        <n v="4.9996000000007257E-2"/>
        <n v="1.1000060000000076"/>
        <n v="1.2399979999999999"/>
        <n v="0.47999500000000239"/>
        <n v="-2.2600029999999975"/>
        <n v="-1.4099960000000067"/>
        <n v="-0.96999300000000233"/>
        <n v="0.48999799999999993"/>
        <n v="-0.95999900000001048"/>
        <n v="0.66999800000000675"/>
        <n v="0.43999399999999866"/>
        <n v="1.8199999999999932"/>
        <n v="-2.7799990000000037"/>
        <n v="2.8499989999999968"/>
        <n v="-2.3499909999999886"/>
        <n v="-1.549995999999993"/>
        <n v="0.49000499999999647"/>
        <n v="0.94000299999999015"/>
        <n v="-1.0699990000000099"/>
        <n v="0.27000499999999761"/>
        <n v="-0.14000000000000057"/>
        <n v="1.5399929999999955"/>
        <n v="-0.30000300000000379"/>
        <n v="1.8099969999999814"/>
        <n v="-0.61999499999998875"/>
        <n v="5.9998000000007323E-2"/>
        <n v="1.319991999999985"/>
        <n v="0.93998700000000213"/>
        <n v="-2.9800110000000188"/>
        <n v="1.6999969999999962"/>
        <n v="-8.0002000000007456E-2"/>
        <n v="-0.94999699999999621"/>
        <n v="-0.33000199999999325"/>
        <n v="0.98000300000001062"/>
        <n v="-1.0099949999999893"/>
        <n v="-0.76000200000000007"/>
        <n v="-0.65000200000000063"/>
        <n v="-0.20999899999999627"/>
        <n v="8.999600000001351E-2"/>
        <n v="-0.97000099999999634"/>
        <n v="-2.380004999999997"/>
        <n v="0.5199970000000036"/>
        <n v="1.4899979999999999"/>
        <n v="-1.0600050000000039"/>
        <n v="0.39999399999999241"/>
        <n v="-0.44000200000000689"/>
        <n v="0.58000199999999325"/>
        <n v="0.55999700000000985"/>
        <n v="0.6800010000000043"/>
        <n v="0.95000499999999022"/>
        <n v="0.73000399999999388"/>
        <n v="0.26000299999999754"/>
        <n v="0.25999400000000605"/>
        <n v="0.10000599999997917"/>
        <n v="-0.54000899999999774"/>
        <n v="-0.22000099999999634"/>
        <n v="-0.85000600000000759"/>
        <n v="-1.0999909999999886"/>
        <n v="0.72000100000001055"/>
        <n v="0.9600070000000045"/>
        <n v="-0.58999699999998256"/>
        <n v="-1.0200039999999859"/>
        <n v="0.82000000000000739"/>
        <n v="0.5699989999999957"/>
        <n v="0.64999400000000662"/>
        <n v="-1.1100009999999969"/>
        <n v="0.12000299999999697"/>
        <n v="-0.45000399999999274"/>
        <n v="0.90000200000001485"/>
        <n v="-1.3600010000000111"/>
        <n v="-0.91999800000000675"/>
        <n v="-0.92999999999999261"/>
        <n v="-0.13999999999998636"/>
        <n v="-0.55999800000000732"/>
        <n v="0.12999700000000303"/>
        <n v="-7.9994999999996708E-2"/>
        <n v="1.1500020000000006"/>
        <n v="0.30000299999998958"/>
        <n v="-1.3500060000000076"/>
        <n v="-0.68000099999999009"/>
        <n v="-1.2900010000000037"/>
        <n v="-0.90000200000000063"/>
        <n v="0.97000199999999381"/>
        <n v="0.15999599999999248"/>
        <n v="-0.95999899999999627"/>
        <n v="0.68999399999999866"/>
        <n v="0.4300010000000043"/>
        <n v="1.1599959999999925"/>
        <n v="-0.30000400000000127"/>
        <n v="1.0002000000000066E-2"/>
        <n v="1.0599979999999931"/>
        <n v="-0.19999699999999621"/>
        <n v="-1.9100030000000032"/>
        <n v="-3.7799980000000062"/>
        <n v="1.3399969999999968"/>
        <n v="0.63000499999999704"/>
        <n v="-0.43000000000000682"/>
        <n v="1.0999989999999968"/>
        <n v="0.7699970000000036"/>
        <n v="0.53999299999998129"/>
        <n v="-2.1000060000000076"/>
        <n v="3.2300029999999964"/>
        <n v="-1.0399929999999955"/>
        <n v="-0.3199989999999957"/>
        <n v="0"/>
        <n v="-0.1600040000000007"/>
        <n v="5.0003000000003794E-2"/>
        <n v="-1.2999949999999956"/>
        <n v="0.40000100000000316"/>
        <n v="-0.40000100000000316"/>
        <n v="0.9300010000000043"/>
        <n v="0.24000500000001068"/>
        <n v="0.19000200000000689"/>
        <n v="0.2300029999999964"/>
        <n v="-0.54000100000000373"/>
        <n v="1.4000020000000006"/>
        <n v="-0.13999900000000309"/>
        <n v="0.31000500000000386"/>
        <n v="-4.0001000000003728E-2"/>
        <n v="-0.40000199999998642"/>
        <n v="-0.59999799999999937"/>
        <n v="-0.9100040000000007"/>
        <n v="-0.15000199999998642"/>
        <n v="-1.3200000000000074"/>
        <n v="1.5099940000000061"/>
        <n v="1.9996999999989384E-2"/>
        <n v="-3.0599979999999931"/>
        <n v="2.4500050000000044"/>
        <n v="-0.84000399999999331"/>
        <n v="0.93999500000001035"/>
        <n v="3.1900019999999927"/>
        <n v="-4.3199999999999932"/>
        <n v="2.7099989999999963"/>
        <n v="-0.88999900000000309"/>
        <n v="1.6399990000000031"/>
        <n v="1.120002999999997"/>
        <n v="6.9999999999993179E-2"/>
        <n v="-1.0899959999999993"/>
        <n v="-1.4299999999999926"/>
        <n v="-4.6699980000000068"/>
        <n v="8.25"/>
        <n v="-7.370002999999997"/>
        <n v="2.6000060000000076"/>
        <n v="0.68999500000001035"/>
        <n v="0.7300029999999964"/>
        <n v="-1.5700000000000074"/>
        <n v="0.29000100000000373"/>
        <n v="1.2100059999999928"/>
        <n v="0.85000599999999338"/>
        <n v="0.57999499999999671"/>
        <n v="-0.70999899999999627"/>
        <n v="-0.58999699999999677"/>
        <n v="1.3400039999999933"/>
        <n v="-0.15000100000000316"/>
        <n v="0.59000399999999331"/>
        <n v="-0.34999899999999684"/>
        <n v="0.26000200000000007"/>
        <n v="0.18000099999999009"/>
        <n v="-0.47000199999999381"/>
        <n v="0.19999699999999621"/>
        <n v="-2.4300010000000043"/>
        <n v="2.1099930000000029"/>
        <n v="-2.119995000000003"/>
        <n v="0.29999600000000726"/>
        <n v="0.55999799999999311"/>
        <n v="-3.6099999999999994"/>
        <n v="2.3000029999999896"/>
        <n v="2.4199979999999925"/>
        <n v="-1.2700040000000001"/>
        <n v="0.1600040000000007"/>
        <n v="-1.7400059999999939"/>
        <n v="1.5400009999999895"/>
        <n v="2.0004999999997608E-2"/>
        <n v="1.75"/>
        <n v="-1.7300030000000106"/>
        <n v="-3.7700040000000001"/>
        <n v="0.13000499999999704"/>
        <n v="3.0006000000000199E-2"/>
        <n v="-0.20000500000000443"/>
        <n v="0.52999900000000366"/>
        <n v="-1.7300029999999964"/>
        <n v="-1.5100020000000001"/>
        <n v="2.7900000000000063"/>
        <n v="0.43999499999999614"/>
        <n v="3.0399940000000072"/>
        <n v="1.7099989999999963"/>
        <n v="-0.20000499999999022"/>
        <n v="-1.6100000000000136"/>
        <n v="0.51999699999998938"/>
        <n v="-0.29999499999999557"/>
        <n v="-1.7099990000000105"/>
        <n v="0.25999499999998932"/>
        <n v="-0.98000399999999388"/>
        <n v="0.59000400000000752"/>
        <n v="0.51000200000000007"/>
        <n v="2.369995000000003"/>
        <n v="0.90000200000000063"/>
        <n v="0.68000099999999009"/>
        <n v="-0.69000200000000689"/>
        <n v="2.120002999999997"/>
        <n v="-1.130004999999997"/>
        <n v="0.97000100000001055"/>
        <n v="-1.0800020000000075"/>
        <n v="0.93000099999999009"/>
        <n v="-0.73999799999999993"/>
        <n v="0.92999999999999261"/>
        <n v="2.4300010000000043"/>
        <n v="-0.23999799999999993"/>
        <n v="1.1699980000000068"/>
        <n v="2.380004999999997"/>
        <n v="-2.8000029999999896"/>
        <n v="-0.84999899999999684"/>
        <n v="2.3399969999999968"/>
        <n v="1.8300020000000075"/>
        <n v="-1.4899979999999999"/>
        <n v="-0.19000199999999268"/>
        <n v="-5.9997999999993112E-2"/>
        <n v="1.0300060000000002"/>
        <n v="-1.3999939999999924"/>
        <n v="0.19000199999999268"/>
        <n v="0.22000100000001055"/>
        <n v="-0.70999900000001048"/>
        <n v="-0.12999700000000303"/>
        <n v="-0.20999999999999375"/>
        <n v="0.55000400000000127"/>
        <n v="0.30000300000000379"/>
        <n v="1.2799980000000062"/>
        <n v="-0.90999600000000669"/>
        <n v="-0.15000200000000063"/>
        <n v="1.7799989999999895"/>
        <n v="-1.129997000000003"/>
        <n v="-5.0003000000003794E-2"/>
        <n v="-0.38999900000000309"/>
        <n v="-0.13000499999999704"/>
        <n v="-0.26000200000000007"/>
        <n v="-2.8600009999999969"/>
        <n v="2.8000030000000038"/>
        <n v="-1.2299959999999999"/>
        <n v="1.5299990000000037"/>
        <n v="1.1400000000000006"/>
        <n v="0.10000600000000759"/>
        <n v="-1.5199970000000036"/>
        <n v="1.5499950000000098"/>
        <n v="-1.1799999999999926"/>
        <n v="-0.48000300000001062"/>
        <n v="-1.9700009999999963"/>
        <n v="0.18999399999999866"/>
        <n v="-1.1500010000000032"/>
        <n v="0.30999699999999564"/>
        <n v="0.33000200000000746"/>
        <n v="0.75"/>
        <n v="1"/>
        <n v="-3.2999949999999956"/>
        <n v="1.3099970000000098"/>
        <n v="-2"/>
        <n v="0.54000100000000373"/>
        <n v="3.2900010000000037"/>
        <n v="0.33999699999999677"/>
        <n v="1.6099999999999994"/>
        <n v="-0.14999399999999241"/>
        <n v="-0.1299980000000005"/>
        <n v="0.6600040000000007"/>
        <n v="0.13999999999998636"/>
        <n v="0.67999999999999261"/>
        <n v="-1.0800009999999958"/>
        <n v="-1.4100040000000007"/>
        <n v="-1.0599969999999956"/>
        <n v="3.7399979999999999"/>
        <n v="-0.70000399999999274"/>
        <n v="0.71000599999999281"/>
        <n v="-2.0199960000000061"/>
        <n v="-2.0100020000000001"/>
        <n v="-1.450004000000007"/>
        <n v="0.26999600000000612"/>
        <n v="-3.0399940000000072"/>
        <n v="-2.880004999999997"/>
        <n v="5.0002999999989584E-2"/>
        <n v="-0.16999900000000423"/>
        <n v="-0.76999600000000612"/>
        <n v="1.7799990000000037"/>
        <n v="-1.2600020000000001"/>
        <n v="-0.88000499999999704"/>
        <n v="0.44999699999999621"/>
        <n v="1.7699970000000036"/>
        <n v="1.2600020000000001"/>
        <n v="1.3500060000000076"/>
        <n v="0.15000100000000316"/>
        <n v="0.44000299999999015"/>
        <n v="-0.5"/>
        <n v="0.8399959999999993"/>
        <n v="0.20999899999999627"/>
        <n v="-5.9996999999995637E-2"/>
        <n v="0.74000499999999647"/>
        <n v="-0.75999500000000353"/>
        <n v="-0.83000200000000746"/>
      </sharedItems>
    </cacheField>
    <cacheField name="Change in stock %" numFmtId="10">
      <sharedItems containsSemiMixedTypes="0" containsString="0" containsNumber="1" minValue="-6.633068970992087E-2" maxValue="8.696110191964472E-2" count="506">
        <n v="2.670302088779828E-2"/>
        <n v="-2.8747054373522495E-2"/>
        <n v="1.3921937428837568E-3"/>
        <n v="-2.2598327928658395E-2"/>
        <n v="-1.6133982258732225E-2"/>
        <n v="-4.4458118172595821E-3"/>
        <n v="-5.8677671048901663E-3"/>
        <n v="-2.9206549043062104E-2"/>
        <n v="1.5924847038840898E-2"/>
        <n v="9.6673599688366606E-3"/>
        <n v="-1.7782744933126919E-2"/>
        <n v="1.7770799532508975E-2"/>
        <n v="-7.8301567655089926E-3"/>
        <n v="2.8287550287566202E-2"/>
        <n v="-2.0488525034136836E-2"/>
        <n v="6.0040028019606834E-4"/>
        <n v="-2.728033082798486E-2"/>
        <n v="3.1985819042692574E-3"/>
        <n v="2.6901518863788127E-2"/>
        <n v="3.0224437904375254E-3"/>
        <n v="1.4674061539474885E-3"/>
        <n v="5.952406934996584E-3"/>
        <n v="9.67635733581396E-3"/>
        <n v="8.8173041666122619E-3"/>
        <n v="2.8627095107192206E-3"/>
        <n v="8.505996437695746E-3"/>
        <n v="2.9436332557841284E-3"/>
        <n v="-5.8769204443204714E-4"/>
        <n v="1.4027413014277951E-2"/>
        <n v="-8.3350000000000549E-5"/>
        <n v="3.1825543855518784E-3"/>
        <n v="-3.7359652238098122E-3"/>
        <n v="6.6668333333327705E-4"/>
        <n v="3.5131575864535323E-3"/>
        <n v="1.2124223752270749E-2"/>
        <n v="2.2191501967477644E-3"/>
        <n v="-1.5556083310595645E-3"/>
        <n v="5.7884478623997032E-3"/>
        <n v="1.6508130144314709E-3"/>
        <n v="2.6669072502455708E-3"/>
        <n v="8.5403433802477748E-3"/>
        <n v="-2.334916012917969E-4"/>
        <n v="6.8418988820518247E-3"/>
        <n v="2.2919519368727291E-2"/>
        <n v="-5.7921166572571601E-3"/>
        <n v="-2.1055070250153071E-2"/>
        <n v="1.2656301642938848E-2"/>
        <n v="-1.1846100000000075E-2"/>
        <n v="-4.1464703623242958E-4"/>
        <n v="-9.8511320446685643E-3"/>
        <n v="1.4210505263157888E-2"/>
        <n v="7.7195596941419028E-3"/>
        <n v="-2.5901368397265905E-2"/>
        <n v="2.0186889944815493E-2"/>
        <n v="7.42387307854622E-3"/>
        <n v="-1.7201845646410491E-2"/>
        <n v="-9.5963321292647733E-4"/>
        <n v="-2.123410083376014E-3"/>
        <n v="1.7049063893361305E-2"/>
        <n v="1.4999534809134785E-2"/>
        <n v="-2.6102732743938994E-2"/>
        <n v="4.1667708333337217E-4"/>
        <n v="5.9183782767808796E-3"/>
        <n v="-1.7738588843597677E-2"/>
        <n v="2.255793713903162E-2"/>
        <n v="7.3919726998862897E-3"/>
        <n v="-2.9834671702715742E-3"/>
        <n v="-1.7551001264184379E-3"/>
        <n v="1.3540116614501401E-2"/>
        <n v="4.2975151360170483E-3"/>
        <n v="6.0011223755143386E-3"/>
        <n v="8.9831019521760137E-3"/>
        <n v="7.5839287045158174E-3"/>
        <n v="5.253041252240233E-3"/>
        <n v="5.8488722756797097E-3"/>
        <n v="-2.5669030804143138E-3"/>
        <n v="1.5779305443653529E-3"/>
        <n v="1.1613118965961526E-2"/>
        <n v="-7.3856255199022903E-5"/>
        <n v="-2.3586054744394185E-3"/>
        <n v="-1.2379419729205917E-3"/>
        <n v="3.1016902782893059E-3"/>
        <n v="-4.337823191115869E-3"/>
        <n v="-1.6876636850573438E-2"/>
        <n v="-1.401866109121464E-2"/>
        <n v="-6.4082526290109862E-3"/>
        <n v="-1.5030471797153021E-2"/>
        <n v="-2.0120256513026052E-2"/>
        <n v="1.7496517332949373E-2"/>
        <n v="-6.511302146120555E-3"/>
        <n v="8.63739123274271E-3"/>
        <n v="9.0547973144591617E-3"/>
        <n v="1.1574811023622018E-2"/>
        <n v="-9.7087378640776691E-3"/>
        <n v="-1.8323571150097463E-2"/>
        <n v="7.0796096504182194E-4"/>
        <n v="-4.2442897686639962E-3"/>
        <n v="-2.4972372175024724E-2"/>
        <n v="1.2056011533789318E-2"/>
        <n v="-1.0596451794171898E-2"/>
        <n v="1.870213578310025E-2"/>
        <n v="-1.3165168154973948E-2"/>
        <n v="2.949305623158106E-2"/>
        <n v="2.3878021612217253E-3"/>
        <n v="9.1469276367682588E-3"/>
        <n v="6.2518216395871665E-3"/>
        <n v="-5.0785819423633952E-3"/>
        <n v="2.4806509474166595E-3"/>
        <n v="-1.8753825264116199E-3"/>
        <n v="-2.3666895822230115E-3"/>
        <n v="1.9565728082271807E-4"/>
        <n v="5.9856047106033169E-3"/>
        <n v="5.9638611577900935E-3"/>
        <n v="1.3000669027811208E-2"/>
        <n v="2.6535823347303561E-3"/>
        <n v="-3.9495769776029758E-3"/>
        <n v="-1.8876616633631756E-4"/>
        <n v="1.3966755344418018E-2"/>
        <n v="-3.2870585099438192E-3"/>
        <n v="1.8962453598536557E-3"/>
        <n v="-7.6414905660376706E-3"/>
        <n v="2.6599304286388674E-2"/>
        <n v="8.3754807478051627E-3"/>
        <n v="-6.6533265890144902E-3"/>
        <n v="-4.5665758692516678E-3"/>
        <n v="2.3194513502314711E-3"/>
        <n v="2.3138081279520543E-2"/>
        <n v="-1.277026804113343E-2"/>
        <n v="-1.9864918869525925E-3"/>
        <n v="5.6416369589453131E-3"/>
        <n v="9.1306155410230232E-3"/>
        <n v="-1.1840749857472454E-2"/>
        <n v="-5.5117874015747732E-3"/>
        <n v="2.9269439782630097E-3"/>
        <n v="-8.7108806518122403E-4"/>
        <n v="-6.3719871038155516E-3"/>
        <n v="1.6166265827825169E-2"/>
        <n v="-9.2896326640297486E-3"/>
        <n v="1.2835632929138158E-2"/>
        <n v="1.0678058986483333E-2"/>
        <n v="-1.6093646406097756E-3"/>
        <n v="2.5696924279296346E-3"/>
        <n v="-2.9004973947383352E-2"/>
        <n v="-1.1677972904794914E-2"/>
        <n v="-2.7129952014380756E-2"/>
        <n v="1.1123359175614593E-2"/>
        <n v="6.3394766589290304E-3"/>
        <n v="2.739439270579075E-3"/>
        <n v="6.6224800882932018E-3"/>
        <n v="-1.2823974883782785E-2"/>
        <n v="-2.2954732422927832E-3"/>
        <n v="4.5880517152612724E-4"/>
        <n v="1.0060417415782671E-2"/>
        <n v="1.1191317386516676E-2"/>
        <n v="4.3002596944922353E-3"/>
        <n v="-2.0158799213640159E-2"/>
        <n v="-1.2948810845337657E-2"/>
        <n v="-8.9914073690602926E-3"/>
        <n v="4.5948800130802695E-3"/>
        <n v="-8.9778266155429755E-3"/>
        <n v="6.3803255617498871E-3"/>
        <n v="7.619238095237452E-4"/>
        <n v="4.2343757392214005E-3"/>
        <n v="1.8958333333333261E-2"/>
        <n v="-2.8480677917419588E-2"/>
        <n v="-2.6598574882403976E-3"/>
        <n v="2.2601102658225236E-2"/>
        <n v="-6.1776293436293728E-3"/>
        <n v="-1.8337815919054892E-2"/>
        <n v="-1.2247124087343879E-2"/>
        <n v="3.927266264180454E-3"/>
        <n v="7.4202952320807552E-3"/>
        <n v="-8.3993956228856706E-3"/>
        <n v="2.1497213718108307E-3"/>
        <n v="-1.1097899150251346E-3"/>
        <n v="1.2086908026468593E-2"/>
        <n v="-2.3243432535027583E-3"/>
        <n v="1.4098745361475732E-2"/>
        <n v="-4.7440124761799971E-3"/>
        <n v="4.6152307692313326E-4"/>
        <n v="1.0148319589157745E-2"/>
        <n v="7.1427580330049685E-3"/>
        <n v="-2.2473686765896669E-2"/>
        <n v="1.3042788492950361E-2"/>
        <n v="-6.0671924308575923E-4"/>
        <n v="-7.2391757140646126E-3"/>
        <n v="-3.511780318061221E-3"/>
        <n v="1.0403429206054122E-2"/>
        <n v="-1.0609191510793738E-2"/>
        <n v="-8.0851276595744689E-3"/>
        <n v="-6.9615720158004131E-3"/>
        <n v="-2.25805376344082E-3"/>
        <n v="9.6427727495402302E-4"/>
        <n v="-1.0376561498398716E-2"/>
        <n v="-2.566873354541915E-2"/>
        <n v="5.7777444444444843E-3"/>
        <n v="1.6127265030060234E-2"/>
        <n v="-1.1211051997534086E-2"/>
        <n v="4.2480244584525758E-3"/>
        <n v="-4.6492181387280751E-3"/>
        <n v="6.1285080951870383E-3"/>
        <n v="5.8412118752099122E-3"/>
        <n v="6.9944558013325291E-3"/>
        <n v="9.6281039754352697E-3"/>
        <n v="7.3234751203851709E-3"/>
        <n v="9.1512065737890114E-3"/>
        <n v="2.6104719399692913E-3"/>
        <n v="1.9956555265248817E-3"/>
        <n v="7.7010626235848531E-4"/>
        <n v="-4.1329326761691959E-3"/>
        <n v="-1.6978005603055658E-3"/>
        <n v="-6.5637528957529544E-3"/>
        <n v="-8.5336776664240079E-3"/>
        <n v="5.682723102195579E-3"/>
        <n v="7.5047452705557767E-3"/>
        <n v="-4.567247499386245E-3"/>
        <n v="-7.9569699983309625E-3"/>
        <n v="6.5027756780773891E-3"/>
        <n v="4.4871211878069498E-3"/>
        <n v="-3.2884277850889821E-3"/>
        <n v="5.1088106945969859E-3"/>
        <n v="-8.6915747293991995E-3"/>
        <n v="9.4127384016428467E-4"/>
        <n v="-3.529996779181067E-3"/>
        <n v="7.0749312717156366E-3"/>
        <n v="-1.0554097388219103E-2"/>
        <n v="-7.2060626177812481E-3"/>
        <n v="-7.4127212451196708E-3"/>
        <n v="-1.114915983116878E-3"/>
        <n v="-5.655403120240524E-3"/>
        <n v="1.2295389596216691E-3"/>
        <n v="1.3293485905578734E-3"/>
        <n v="6.5312686300902168E-3"/>
        <n v="-2.2166347607052526E-3"/>
        <n v="-8.0786712203189325E-4"/>
        <n v="1.1675147208121834E-2"/>
        <n v="3.0447884202250888E-3"/>
        <n v="-1.367925800629741E-2"/>
        <n v="1.4385429510892223E-3"/>
        <n v="-6.951553874463199E-3"/>
        <n v="1.1404935554326742E-2"/>
        <n v="-1.3351282963632321E-2"/>
        <n v="-9.3750208333333394E-3"/>
        <n v="1.0216999995428626E-2"/>
        <n v="-7.2726961038960649E-3"/>
        <n v="1.6676672572926616E-3"/>
        <n v="5.2738992455537937E-3"/>
        <n v="-1.0322569892473078E-2"/>
        <n v="7.4272764816517298E-3"/>
        <n v="4.5759390808137197E-3"/>
        <n v="1.2282888346402114E-2"/>
        <n v="-2.3640976774767998E-3"/>
        <n v="7.9110970497509023E-5"/>
        <n v="8.4840562112364383E-3"/>
        <n v="-1.5886647199035739E-3"/>
        <n v="-1.5343854064656499E-2"/>
        <n v="-3.0520775624073938E-2"/>
        <n v="1.0988986206511599E-2"/>
        <n v="5.0388307209375972E-3"/>
        <n v="-3.4116153331354448E-3"/>
        <n v="8.7495942670251566E-3"/>
        <n v="6.0278457183004152E-3"/>
        <n v="4.1833978279608433E-3"/>
        <n v="8.3989157181117192E-3"/>
        <n v="-1.5807345917620865E-2"/>
        <n v="2.6477605155793154E-2"/>
        <n v="-8.2408322085775927E-3"/>
        <n v="-6.543249281838439E-3"/>
        <n v="-2.5997157396933841E-3"/>
        <n v="0"/>
        <n v="-1.2992610426429444E-3"/>
        <n v="4.0878842380644045E-4"/>
        <n v="-1.0603548296958337E-2"/>
        <n v="4.1889308658274674E-3"/>
        <n v="-4.193322195128686E-3"/>
        <n v="9.8308775862765273E-3"/>
        <n v="2.5078893158169135E-3"/>
        <n v="1.9691367389188556E-3"/>
        <n v="2.3772919896640457E-3"/>
        <n v="2.5728105911867979E-3"/>
        <n v="-5.5435887262667979E-3"/>
        <n v="1.4375213208493828E-2"/>
        <n v="-1.4152749982870307E-3"/>
        <n v="1.1448885859641891E-2"/>
        <n v="3.1137505647599942E-3"/>
        <n v="-4.0001000000003726E-4"/>
        <n v="-4.0068315334701333E-3"/>
        <n v="-6.0447107385712059E-3"/>
        <n v="-9.2621272264631106E-3"/>
        <n v="-1.5492873373268584E-3"/>
        <n v="-1.2659442197931657E-2"/>
        <n v="1.4684371979298476E-2"/>
        <n v="1.919282043970916E-4"/>
        <n v="-2.5185168724279779E-2"/>
        <n v="-2.3675685976421185E-2"/>
        <n v="2.1691058566384952E-2"/>
        <n v="-7.24328699453916E-3"/>
        <n v="8.2038312409875008E-3"/>
        <n v="2.7374942309919634E-2"/>
        <n v="-3.6669213762315772E-2"/>
        <n v="2.4082458225206205E-2"/>
        <n v="-7.6697603613430088E-3"/>
        <n v="1.4345687543736907E-2"/>
        <n v="9.6518699616350134E-3"/>
        <n v="6.0121961693715691E-4"/>
        <n v="-9.3884239343397687E-3"/>
        <n v="-1.2535062893845256E-2"/>
        <n v="-4.2289214887258952E-2"/>
        <n v="8.696110191964472E-2"/>
        <n v="-6.633068970992087E-2"/>
        <n v="2.427870106559727E-2"/>
        <n v="6.1480440306146151E-3"/>
        <n v="9.9848713557077612E-3"/>
        <n v="6.5161385924853606E-3"/>
        <n v="1.5707297549763556E-2"/>
        <n v="-1.4804337157821743E-2"/>
        <n v="9.350281640116153E-3"/>
        <n v="2.7467417551290041E-3"/>
        <n v="1.1386148811126744E-2"/>
        <n v="7.9055619765316162E-3"/>
        <n v="5.3589114286543699E-3"/>
        <n v="-6.5311287510912064E-3"/>
        <n v="-5.4367583515506062E-3"/>
        <n v="3.7112729978778635E-3"/>
        <n v="1.2391381657031394E-2"/>
        <n v="-2.2803977637616828E-3"/>
        <n v="1.0999358588438927E-3"/>
        <n v="-1.3732582246656457E-3"/>
        <n v="5.4243267102415506E-3"/>
        <n v="-3.2151294946249067E-3"/>
        <n v="2.3943457922219655E-3"/>
        <n v="-4.973758865248131E-3"/>
        <n v="1.6761430456851954E-3"/>
        <n v="-4.3757749045423532E-3"/>
        <n v="1.8757924814539371E-3"/>
        <n v="1.8903307592533453E-3"/>
        <n v="4.1642436432237752E-3"/>
        <n v="-2.206083482413377E-2"/>
        <n v="1.9141730405287233E-2"/>
        <n v="-1.8846075541756192E-2"/>
        <n v="2.7530145659079813E-3"/>
        <n v="5.0111677852348376E-3"/>
        <n v="-3.1733473422407281E-2"/>
        <n v="2.0857922032953256E-2"/>
        <n v="2.1647714270974849E-2"/>
        <n v="-1.0893840952241536E-2"/>
        <n v="3.0190546019149213E-3"/>
        <n v="1.3763784946236618E-3"/>
        <n v="-1.5044146116405062E-2"/>
        <n v="1.1050690767763041E-2"/>
        <n v="1.3547998830790772E-2"/>
        <n v="1.7644205794076364E-4"/>
        <n v="6.0723666128407105E-3"/>
        <n v="1.5452538631346579E-2"/>
        <n v="-1.4857462815914504E-2"/>
        <n v="-1.238468181615596E-2"/>
        <n v="-3.3413134212299314E-2"/>
        <n v="1.1800399596993459E-3"/>
        <n v="5.5587338002518099E-3"/>
        <n v="2.7860725010048237E-4"/>
        <n v="-1.8536144234733603E-3"/>
        <n v="4.9151348434548275E-3"/>
        <n v="-1.6130564102564068E-2"/>
        <n v="-1.4430447385612074E-2"/>
        <n v="2.7179736440726091E-2"/>
        <n v="4.0925959614436262E-3"/>
        <n v="2.7959108949900491E-2"/>
        <n v="1.5018434788174613E-2"/>
        <n v="-1.7373609693181664E-3"/>
        <n v="-1.3976907475008234E-2"/>
        <n v="4.5997079717015965E-3"/>
        <n v="-2.6350022421607385E-3"/>
        <n v="2.36121560754201E-3"/>
        <n v="-1.4944931217355994E-2"/>
        <n v="1.1107112245674598E-2"/>
        <n v="7.9642477876105575E-4"/>
        <n v="2.2868765540173825E-3"/>
        <n v="-8.6603390363965867E-3"/>
        <n v="5.2463454138925213E-3"/>
        <n v="4.6759145502888065E-3"/>
        <n v="2.194236604124869E-2"/>
        <n v="8.1907719746297462E-3"/>
        <n v="6.1466240480869761E-3"/>
        <n v="-8.5913640342108848E-3"/>
        <n v="-6.2619292810250317E-3"/>
        <n v="1.9272754545454518E-2"/>
        <n v="-1.002399512044719E-2"/>
        <n v="8.7529417072731517E-3"/>
        <n v="-9.7043938385804086E-3"/>
        <n v="8.383674389254395E-3"/>
        <n v="-6.6201288837012774E-3"/>
        <n v="8.393501577793212E-3"/>
        <n v="2.1825050182326253E-2"/>
        <n v="-2.105245614035087E-3"/>
        <n v="1.0233516833140673E-2"/>
        <n v="2.0394216462576234E-2"/>
        <n v="-2.3712762132236328E-2"/>
        <n v="-7.3656757822239622E-3"/>
        <n v="2.0011947318908721E-2"/>
        <n v="1.5417034930506422E-2"/>
        <n v="-1.2315051034218547E-2"/>
        <n v="-1.6857599297822076E-3"/>
        <n v="-5.3067398780595341E-4"/>
        <n v="-3.0864108803101858E-3"/>
        <n v="1.6710818382871804E-3"/>
        <n v="-2.1870352932732971E-3"/>
        <n v="8.9550167524347982E-3"/>
        <n v="-1.1894596734781502E-2"/>
        <n v="-8.5232212786233417E-5"/>
        <n v="1.6268687248319543E-3"/>
        <n v="-2.120800868361067E-3"/>
        <n v="1.8750617595660703E-3"/>
        <n v="-6.0077762734812188E-3"/>
        <n v="-1.1087164179104736E-3"/>
        <n v="1.7114239114202662E-3"/>
        <n v="-1.7977913157741323E-3"/>
        <n v="4.6968745464880477E-3"/>
        <n v="2.5434761138654698E-3"/>
        <n v="1.119760320527699E-2"/>
        <n v="-7.8862640426923536E-3"/>
        <n v="-1.3173091775539924E-3"/>
        <n v="-9.6789263584876051E-4"/>
        <n v="3.1456704516803946E-3"/>
        <n v="1.4736310830893936E-2"/>
        <n v="-9.1772681518054698E-3"/>
        <n v="-7.6323349631896801E-3"/>
        <n v="-4.128725917523838E-4"/>
        <n v="-3.2241981086656847E-3"/>
        <n v="-1.1121043436765471E-3"/>
        <n v="-2.2342699432602066E-3"/>
        <n v="-4.6447702624330227E-3"/>
        <n v="-2.4826398215965204E-2"/>
        <n v="2.513919083693281E-2"/>
        <n v="-1.0703063186617874E-2"/>
        <n v="1.3216991824170871E-2"/>
        <n v="9.6905815172609825E-3"/>
        <n v="8.3897653118235891E-4"/>
        <n v="-1.274416901343599E-2"/>
        <n v="1.3210559733903438E-2"/>
        <n v="-9.8984985311508355E-3"/>
        <n v="-4.057849318980144E-3"/>
        <n v="2.6273837211184957E-3"/>
        <n v="-1.7362956260910917E-2"/>
        <n v="1.7055116390392764E-3"/>
        <n v="-1.036223615888714E-2"/>
        <n v="2.8563254662887783E-3"/>
        <n v="2.9978378815800483E-3"/>
        <n v="6.799021064255663E-3"/>
        <n v="9.100837525505211E-3"/>
        <n v="-2.9705600133426917E-2"/>
        <n v="1.2229247230323639E-2"/>
        <n v="-1.8568378224569478E-2"/>
        <n v="5.0671014356761168E-3"/>
        <n v="3.0834124578279078E-2"/>
        <n v="1.2749203401315344E-3"/>
        <n v="3.0987695670910247E-3"/>
        <n v="1.46204136954119E-2"/>
        <n v="-1.3398303172798872E-3"/>
        <n v="-1.1673670872183316E-3"/>
        <n v="5.939026525844329E-3"/>
        <n v="1.2563941487928416E-3"/>
        <n v="6.1382921658989413E-3"/>
        <n v="-9.6774284888427667E-3"/>
        <n v="-1.1873717894736848E-2"/>
        <n v="-9.0335523788495405E-3"/>
        <n v="-1.1583062764914795E-2"/>
        <n v="3.2439916450343338E-2"/>
        <n v="-5.8833752088575152E-3"/>
        <n v="6.0415760562008251E-3"/>
        <n v="-1.7170996405737864E-2"/>
        <n v="1.1202774808663008E-3"/>
        <n v="-1.7449448433901407E-2"/>
        <n v="2.6743002317702758E-3"/>
        <n v="-1.2953403377641594E-2"/>
        <n v="2.4308634194652574E-3"/>
        <n v="-2.7137958234367807E-2"/>
        <n v="-2.6443897660677684E-2"/>
        <n v="4.6609806549298703E-4"/>
        <n v="-1.5828584435222284E-3"/>
        <n v="1.2491880651399601E-2"/>
        <n v="-8.8990917431192324E-3"/>
        <n v="-7.1567620469100693E-3"/>
        <n v="1.6641726034421558E-2"/>
        <n v="-1.1604365231085555E-2"/>
        <n v="-1.6353611506333774E-2"/>
        <n v="-7.9732262035002131E-3"/>
        <n v="6.6868554856984964E-3"/>
        <n v="-8.0909000000000276E-3"/>
        <n v="4.1095616438355815E-3"/>
        <n v="1.6199862416257357E-2"/>
        <n v="1.1365704389629224E-2"/>
        <n v="1.4602431032008416E-2"/>
        <n v="8.8286697075764571E-5"/>
        <n v="1.1858802243809001E-2"/>
        <n v="1.3039029789299389E-3"/>
        <n v="3.8135119729634779E-3"/>
        <n v="-4.2929509376410154E-3"/>
        <n v="7.253851280124745E-3"/>
        <n v="1.7988607469395046E-3"/>
        <n v="2.2259845318667441E-3"/>
        <n v="-5.1565965647885643E-4"/>
        <n v="8.0456876216173957E-3"/>
        <n v="6.3508841319314183E-3"/>
        <n v="-6.4669419622262539E-3"/>
        <n v="2.4045170220141801E-3"/>
        <n v="-7.1153192093387826E-3"/>
      </sharedItems>
    </cacheField>
    <cacheField name="Direction" numFmtId="49">
      <sharedItems/>
    </cacheField>
    <cacheField name="Months (Date)" numFmtId="0" databaseField="0">
      <fieldGroup base="0">
        <rangePr groupBy="months" startDate="2015-02-17T00:00:00" endDate="2017-02-17T00:00:00"/>
        <groupItems count="14">
          <s v="&lt;2/17/2015"/>
          <s v="Jan"/>
          <s v="Feb"/>
          <s v="Mar"/>
          <s v="Apr"/>
          <s v="May"/>
          <s v="Jun"/>
          <s v="Jul"/>
          <s v="Aug"/>
          <s v="Sep"/>
          <s v="Oct"/>
          <s v="Nov"/>
          <s v="Dec"/>
          <s v="&gt;2/17/2017"/>
        </groupItems>
      </fieldGroup>
    </cacheField>
    <cacheField name="Quarters (Date)" numFmtId="0" databaseField="0">
      <fieldGroup base="0">
        <rangePr groupBy="quarters" startDate="2015-02-17T00:00:00" endDate="2017-02-17T00:00:00"/>
        <groupItems count="6">
          <s v="&lt;2/17/2015"/>
          <s v="Qtr1"/>
          <s v="Qtr2"/>
          <s v="Qtr3"/>
          <s v="Qtr4"/>
          <s v="&gt;2/17/2017"/>
        </groupItems>
      </fieldGroup>
    </cacheField>
    <cacheField name="Years (Date)" numFmtId="0" databaseField="0">
      <fieldGroup base="0">
        <rangePr groupBy="years" startDate="2015-02-17T00:00:00" endDate="2017-02-17T00:00:00"/>
        <groupItems count="5">
          <s v="&lt;2/17/2015"/>
          <s v="2015"/>
          <s v="2016"/>
          <s v="2017"/>
          <s v="&gt;2/17/2017"/>
        </groupItems>
      </fieldGroup>
    </cacheField>
  </cacheFields>
  <extLst>
    <ext xmlns:x14="http://schemas.microsoft.com/office/spreadsheetml/2009/9/main" uri="{725AE2AE-9491-48be-B2B4-4EB974FC3084}">
      <x14:pivotCacheDefinition pivotCacheId="1069038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uddhi Shahane" refreshedDate="46115.804742129629" backgroundQuery="1" createdVersion="8" refreshedVersion="8" minRefreshableVersion="3" recordCount="0" supportSubquery="1" supportAdvancedDrill="1" xr:uid="{78481FE5-C393-4BFC-887A-657A9422F94D}">
  <cacheSource type="external" connectionId="1"/>
  <cacheFields count="2">
    <cacheField name="[Table1].[Trend].[Trend]" caption="Trend" numFmtId="0" hierarchy="14" level="1">
      <sharedItems count="2">
        <s v="Down"/>
        <s v="Up"/>
      </sharedItems>
    </cacheField>
    <cacheField name="[Measures].[Count of Date]" caption="Count of Date" numFmtId="0" hierarchy="18" level="32767"/>
  </cacheFields>
  <cacheHierarchies count="2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APL.Open]" caption="AAPL.Open" attribute="1" defaultMemberUniqueName="[Table1].[AAPL.Open].[All]" allUniqueName="[Table1].[AAPL.Open].[All]" dimensionUniqueName="[Table1]" displayFolder="" count="0" memberValueDatatype="5" unbalanced="0"/>
    <cacheHierarchy uniqueName="[Table1].[AAPL.High]" caption="AAPL.High" attribute="1" defaultMemberUniqueName="[Table1].[AAPL.High].[All]" allUniqueName="[Table1].[AAPL.High].[All]" dimensionUniqueName="[Table1]" displayFolder="" count="0" memberValueDatatype="5" unbalanced="0"/>
    <cacheHierarchy uniqueName="[Table1].[AAPL.Low]" caption="AAPL.Low" attribute="1" defaultMemberUniqueName="[Table1].[AAPL.Low].[All]" allUniqueName="[Table1].[AAPL.Low].[All]" dimensionUniqueName="[Table1]" displayFolder="" count="0" memberValueDatatype="5" unbalanced="0"/>
    <cacheHierarchy uniqueName="[Table1].[AAPL.Close]" caption="AAPL.Close" attribute="1" defaultMemberUniqueName="[Table1].[AAPL.Close].[All]" allUniqueName="[Table1].[AAPL.Close].[All]" dimensionUniqueName="[Table1]" displayFolder="" count="0" memberValueDatatype="5" unbalanced="0"/>
    <cacheHierarchy uniqueName="[Table1].[AAPL.Volume]" caption="AAPL.Volume" attribute="1" defaultMemberUniqueName="[Table1].[AAPL.Volume].[All]" allUniqueName="[Table1].[AAPL.Volume].[All]" dimensionUniqueName="[Table1]" displayFolder="" count="0" memberValueDatatype="20" unbalanced="0"/>
    <cacheHierarchy uniqueName="[Table1].[AAPL.Adjusted]" caption="AAPL.Adjusted" attribute="1" defaultMemberUniqueName="[Table1].[AAPL.Adjusted].[All]" allUniqueName="[Table1].[AAPL.Adjusted].[All]" dimensionUniqueName="[Table1]" displayFolder="" count="0" memberValueDatatype="5" unbalanced="0"/>
    <cacheHierarchy uniqueName="[Table1].[dn]" caption="dn" attribute="1" defaultMemberUniqueName="[Table1].[dn].[All]" allUniqueName="[Table1].[dn].[All]" dimensionUniqueName="[Table1]" displayFolder="" count="0" memberValueDatatype="5" unbalanced="0"/>
    <cacheHierarchy uniqueName="[Table1].[mavg]" caption="mavg" attribute="1" defaultMemberUniqueName="[Table1].[mavg].[All]" allUniqueName="[Table1].[mavg].[All]" dimensionUniqueName="[Table1]" displayFolder="" count="0" memberValueDatatype="5" unbalanced="0"/>
    <cacheHierarchy uniqueName="[Table1].[up]" caption="up" attribute="1" defaultMemberUniqueName="[Table1].[up].[All]" allUniqueName="[Table1].[up].[All]" dimensionUniqueName="[Table1]" displayFolder="" count="0" memberValueDatatype="5" unbalanced="0"/>
    <cacheHierarchy uniqueName="[Table1].[Price Range]" caption="Price Range" attribute="1" defaultMemberUniqueName="[Table1].[Price Range].[All]" allUniqueName="[Table1].[Price Range].[All]" dimensionUniqueName="[Table1]" displayFolder="" count="0" memberValueDatatype="5" unbalanced="0"/>
    <cacheHierarchy uniqueName="[Table1].[Change in stock %]" caption="Change in stock %" attribute="1" defaultMemberUniqueName="[Table1].[Change in stock %].[All]" allUniqueName="[Table1].[Change in stock %].[All]" dimensionUniqueName="[Table1]" displayFolder="" count="0" memberValueDatatype="5" unbalanced="0"/>
    <cacheHierarchy uniqueName="[Table1].[Trend]" caption="Trend" attribute="1" defaultMemberUniqueName="[Table1].[Trend].[All]" allUniqueName="[Table1].[Trend].[All]" dimensionUniqueName="[Table1]" displayFolder="" count="2" memberValueDatatype="130" unbalanced="0">
      <fieldsUsage count="2">
        <fieldUsage x="-1"/>
        <fieldUsage x="0"/>
      </fieldsUsage>
    </cacheHierarchy>
    <cacheHierarchy uniqueName="[Table1].[Direction]" caption="Direction" attribute="1" defaultMemberUniqueName="[Table1].[Direction].[All]" allUniqueName="[Table1].[Direc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Date]" caption="Count of Dat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APL.Close]" caption="Average of AAPL.Clos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6">
  <r>
    <x v="0"/>
    <x v="0"/>
    <x v="0"/>
    <n v="102.610001"/>
    <n v="105.370003"/>
    <n v="102"/>
    <n v="105.349998"/>
    <n v="67649400"/>
    <n v="102.612183"/>
    <n v="101.95804269999999"/>
    <n v="110.7301667"/>
    <n v="119.5022907"/>
    <x v="0"/>
    <x v="0"/>
    <s v="Increasing"/>
  </r>
  <r>
    <x v="1"/>
    <x v="0"/>
    <x v="0"/>
    <n v="105.75"/>
    <n v="105.849998"/>
    <n v="102.410004"/>
    <n v="102.709999"/>
    <n v="55791000"/>
    <n v="100.040792"/>
    <n v="101.3646127"/>
    <n v="110.0231668"/>
    <n v="118.68172079999999"/>
    <x v="1"/>
    <x v="1"/>
    <s v="Decreasing"/>
  </r>
  <r>
    <x v="2"/>
    <x v="0"/>
    <x v="0"/>
    <n v="100.55999799999999"/>
    <n v="102.370003"/>
    <n v="99.870002999999997"/>
    <n v="100.699997"/>
    <n v="68457400"/>
    <n v="98.083025000000006"/>
    <n v="100.5769808"/>
    <n v="109.1396668"/>
    <n v="117.70235289999999"/>
    <x v="2"/>
    <x v="2"/>
    <s v="Increasing"/>
  </r>
  <r>
    <x v="3"/>
    <x v="0"/>
    <x v="0"/>
    <n v="98.68"/>
    <n v="100.129997"/>
    <n v="96.43"/>
    <n v="96.449996999999996"/>
    <n v="81094400"/>
    <n v="93.943472999999997"/>
    <n v="99.172773109999994"/>
    <n v="108.1283334"/>
    <n v="117.0838936"/>
    <x v="3"/>
    <x v="3"/>
    <s v="Decreasing"/>
  </r>
  <r>
    <x v="4"/>
    <x v="0"/>
    <x v="0"/>
    <n v="98.550003000000004"/>
    <n v="99.110000999999997"/>
    <n v="96.760002"/>
    <n v="96.959998999999996"/>
    <n v="70798000"/>
    <n v="94.440222000000006"/>
    <n v="97.923654600000006"/>
    <n v="107.20233330000001"/>
    <n v="116.48101200000001"/>
    <x v="4"/>
    <x v="4"/>
    <s v="Decreasing"/>
  </r>
  <r>
    <x v="5"/>
    <x v="0"/>
    <x v="0"/>
    <n v="98.970000999999996"/>
    <n v="99.059997999999993"/>
    <n v="97.339995999999999"/>
    <n v="98.529999000000004"/>
    <n v="49739400"/>
    <n v="95.96942"/>
    <n v="97.225094249999998"/>
    <n v="106.3074998"/>
    <n v="115.3899053"/>
    <x v="5"/>
    <x v="5"/>
    <s v="Decreasing"/>
  </r>
  <r>
    <x v="6"/>
    <x v="0"/>
    <x v="0"/>
    <n v="100.550003"/>
    <n v="100.69000200000001"/>
    <n v="98.839995999999999"/>
    <n v="99.959998999999996"/>
    <n v="49154200"/>
    <n v="97.362257999999997"/>
    <n v="96.794999579999995"/>
    <n v="105.6086665"/>
    <n v="114.4223334"/>
    <x v="6"/>
    <x v="6"/>
    <s v="Decreasing"/>
  </r>
  <r>
    <x v="7"/>
    <x v="0"/>
    <x v="0"/>
    <n v="100.32"/>
    <n v="101.19000200000001"/>
    <n v="97.300003000000004"/>
    <n v="97.389999000000003"/>
    <n v="62439600"/>
    <n v="94.859047000000004"/>
    <n v="96.101159300000006"/>
    <n v="104.95749979999999"/>
    <n v="113.8138403"/>
    <x v="7"/>
    <x v="7"/>
    <s v="Decreasing"/>
  </r>
  <r>
    <x v="8"/>
    <x v="0"/>
    <x v="0"/>
    <n v="97.959998999999996"/>
    <n v="100.480003"/>
    <n v="95.739998"/>
    <n v="99.519997000000004"/>
    <n v="63170100"/>
    <n v="96.933689999999999"/>
    <n v="95.542543960000003"/>
    <n v="104.3258331"/>
    <n v="113.1091223"/>
    <x v="8"/>
    <x v="8"/>
    <s v="Increasing"/>
  </r>
  <r>
    <x v="9"/>
    <x v="0"/>
    <x v="0"/>
    <n v="96.199996999999996"/>
    <n v="97.709998999999996"/>
    <n v="95.360000999999997"/>
    <n v="97.129997000000003"/>
    <n v="79010000"/>
    <n v="94.605801999999997"/>
    <n v="94.763005469999996"/>
    <n v="103.62699979999999"/>
    <n v="112.49099409999999"/>
    <x v="9"/>
    <x v="9"/>
    <s v="Increasing"/>
  </r>
  <r>
    <x v="10"/>
    <x v="0"/>
    <x v="0"/>
    <n v="98.410004000000001"/>
    <n v="98.650002000000001"/>
    <n v="95.5"/>
    <n v="96.660004000000001"/>
    <n v="53087700"/>
    <n v="94.148021999999997"/>
    <n v="94.167197239999993"/>
    <n v="102.9703331"/>
    <n v="111.77346900000001"/>
    <x v="10"/>
    <x v="10"/>
    <s v="Decreasing"/>
  </r>
  <r>
    <x v="11"/>
    <x v="0"/>
    <x v="0"/>
    <n v="95.099997999999999"/>
    <n v="98.190002000000007"/>
    <n v="93.419998000000007"/>
    <n v="96.790001000000004"/>
    <n v="72334400"/>
    <n v="94.274641000000003"/>
    <n v="93.354958760000002"/>
    <n v="102.4209999"/>
    <n v="111.487041"/>
    <x v="11"/>
    <x v="11"/>
    <s v="Increasing"/>
  </r>
  <r>
    <x v="12"/>
    <x v="0"/>
    <x v="0"/>
    <n v="97.059997999999993"/>
    <n v="97.879997000000003"/>
    <n v="94.940002000000007"/>
    <n v="96.300003000000004"/>
    <n v="52161500"/>
    <n v="93.797376999999997"/>
    <n v="92.700191259999997"/>
    <n v="101.9018332"/>
    <n v="111.1034751"/>
    <x v="12"/>
    <x v="12"/>
    <s v="Decreasing"/>
  </r>
  <r>
    <x v="13"/>
    <x v="0"/>
    <x v="0"/>
    <n v="98.629997000000003"/>
    <n v="101.459999"/>
    <n v="98.370002999999997"/>
    <n v="101.41999800000001"/>
    <n v="65800500"/>
    <n v="98.784315000000007"/>
    <n v="92.667320029999999"/>
    <n v="101.5659998"/>
    <n v="110.4646796"/>
    <x v="13"/>
    <x v="13"/>
    <s v="Increasing"/>
  </r>
  <r>
    <x v="14"/>
    <x v="0"/>
    <x v="0"/>
    <n v="101.519997"/>
    <n v="101.529999"/>
    <n v="99.209998999999996"/>
    <n v="99.440002000000007"/>
    <n v="51794500"/>
    <n v="96.855774999999994"/>
    <n v="92.784284260000007"/>
    <n v="101.15799989999999"/>
    <n v="109.5317155"/>
    <x v="14"/>
    <x v="14"/>
    <s v="Decreasing"/>
  </r>
  <r>
    <x v="15"/>
    <x v="0"/>
    <x v="0"/>
    <n v="99.93"/>
    <n v="100.879997"/>
    <n v="98.07"/>
    <n v="99.989998"/>
    <n v="75077000"/>
    <n v="97.391476999999995"/>
    <n v="93.007487499999996"/>
    <n v="100.7239999"/>
    <n v="108.44051229999999"/>
    <x v="15"/>
    <x v="15"/>
    <s v="Increasing"/>
  </r>
  <r>
    <x v="16"/>
    <x v="0"/>
    <x v="0"/>
    <n v="96.040001000000004"/>
    <n v="96.629997000000003"/>
    <n v="93.339995999999999"/>
    <n v="93.419998000000007"/>
    <n v="133369700"/>
    <n v="90.992217999999994"/>
    <n v="92.472292629999998"/>
    <n v="100.102333"/>
    <n v="107.7323734"/>
    <x v="16"/>
    <x v="16"/>
    <s v="Decreasing"/>
  </r>
  <r>
    <x v="17"/>
    <x v="0"/>
    <x v="0"/>
    <n v="93.790001000000004"/>
    <n v="94.519997000000004"/>
    <n v="92.389999000000003"/>
    <n v="94.089995999999999"/>
    <n v="55678800"/>
    <n v="91.644803999999993"/>
    <n v="92.243598070000004"/>
    <n v="99.368499580000005"/>
    <n v="106.4934011"/>
    <x v="17"/>
    <x v="17"/>
    <s v="Increasing"/>
  </r>
  <r>
    <x v="18"/>
    <x v="0"/>
    <x v="0"/>
    <n v="94.790001000000004"/>
    <n v="97.339995999999999"/>
    <n v="94.349997999999999"/>
    <n v="97.339995999999999"/>
    <n v="64416500"/>
    <n v="94.810344000000001"/>
    <n v="92.691369420000001"/>
    <n v="98.798999469999998"/>
    <n v="104.90662949999999"/>
    <x v="18"/>
    <x v="18"/>
    <s v="Increasing"/>
  </r>
  <r>
    <x v="19"/>
    <x v="0"/>
    <x v="1"/>
    <n v="115.800003"/>
    <n v="116.33000199999999"/>
    <n v="114.760002"/>
    <n v="116.150002"/>
    <n v="28781900"/>
    <n v="115.648597"/>
    <n v="109.824879"/>
    <n v="114.8328334"/>
    <n v="119.8407878"/>
    <x v="19"/>
    <x v="19"/>
    <s v="Increasing"/>
  </r>
  <r>
    <x v="20"/>
    <x v="0"/>
    <x v="1"/>
    <n v="115.849998"/>
    <n v="116.510002"/>
    <n v="115.75"/>
    <n v="116.019997"/>
    <n v="21118100"/>
    <n v="115.519154"/>
    <n v="110.89054109999999"/>
    <n v="115.181"/>
    <n v="119.4714589"/>
    <x v="20"/>
    <x v="20"/>
    <s v="Increasing"/>
  </r>
  <r>
    <x v="21"/>
    <x v="0"/>
    <x v="1"/>
    <n v="115.91999800000001"/>
    <n v="116.860001"/>
    <n v="115.80999799999999"/>
    <n v="116.610001"/>
    <n v="22193600"/>
    <n v="116.106611"/>
    <n v="111.9660727"/>
    <n v="115.5106667"/>
    <n v="119.0552606"/>
    <x v="21"/>
    <x v="21"/>
    <s v="Increasing"/>
  </r>
  <r>
    <x v="22"/>
    <x v="0"/>
    <x v="1"/>
    <n v="116.779999"/>
    <n v="118.160004"/>
    <n v="116.470001"/>
    <n v="117.910004"/>
    <n v="31751900"/>
    <n v="117.40100200000001"/>
    <n v="113.0764095"/>
    <n v="115.8633334"/>
    <n v="118.65025730000001"/>
    <x v="22"/>
    <x v="22"/>
    <s v="Increasing"/>
  </r>
  <r>
    <x v="23"/>
    <x v="0"/>
    <x v="1"/>
    <n v="117.949997"/>
    <n v="119.43"/>
    <n v="117.94000200000001"/>
    <n v="118.989998"/>
    <n v="33387600"/>
    <n v="118.47633399999999"/>
    <n v="113.863686"/>
    <n v="116.2168334"/>
    <n v="118.5699808"/>
    <x v="23"/>
    <x v="23"/>
    <s v="Increasing"/>
  </r>
  <r>
    <x v="24"/>
    <x v="0"/>
    <x v="1"/>
    <n v="118.769997"/>
    <n v="119.379997"/>
    <n v="118.300003"/>
    <n v="119.110001"/>
    <n v="24462100"/>
    <n v="118.59581900000001"/>
    <n v="114.1532615"/>
    <n v="116.4806669"/>
    <n v="118.80807230000001"/>
    <x v="24"/>
    <x v="24"/>
    <s v="Increasing"/>
  </r>
  <r>
    <x v="25"/>
    <x v="0"/>
    <x v="1"/>
    <n v="118.739998"/>
    <n v="119.93"/>
    <n v="118.599998"/>
    <n v="119.75"/>
    <n v="27588600"/>
    <n v="119.23305499999999"/>
    <n v="114.5029779"/>
    <n v="116.77216679999999"/>
    <n v="119.0413557"/>
    <x v="25"/>
    <x v="25"/>
    <s v="Increasing"/>
  </r>
  <r>
    <x v="26"/>
    <x v="0"/>
    <x v="1"/>
    <n v="118.900002"/>
    <n v="119.300003"/>
    <n v="118.209999"/>
    <n v="119.25"/>
    <n v="27086200"/>
    <n v="118.735214"/>
    <n v="114.6785838"/>
    <n v="116.9705002"/>
    <n v="119.26241659999999"/>
    <x v="26"/>
    <x v="26"/>
    <s v="Increasing"/>
  </r>
  <r>
    <x v="27"/>
    <x v="0"/>
    <x v="1"/>
    <n v="119.110001"/>
    <n v="119.620003"/>
    <n v="118.80999799999999"/>
    <n v="119.040001"/>
    <n v="26111900"/>
    <n v="118.526121"/>
    <n v="114.7862159"/>
    <n v="117.15550020000001"/>
    <n v="119.5247845"/>
    <x v="27"/>
    <x v="27"/>
    <s v="Decreasing"/>
  </r>
  <r>
    <x v="28"/>
    <x v="0"/>
    <x v="1"/>
    <n v="118.339996"/>
    <n v="120.239998"/>
    <n v="118.220001"/>
    <n v="120"/>
    <n v="34439800"/>
    <n v="119.481976"/>
    <n v="114.829177"/>
    <n v="117.33350009999999"/>
    <n v="119.83782309999999"/>
    <x v="28"/>
    <x v="28"/>
    <s v="Increasing"/>
  </r>
  <r>
    <x v="29"/>
    <x v="0"/>
    <x v="1"/>
    <n v="120"/>
    <n v="120.5"/>
    <n v="119.709999"/>
    <n v="119.989998"/>
    <n v="23713000"/>
    <n v="119.47201699999999"/>
    <n v="114.8387427"/>
    <n v="117.5348333"/>
    <n v="120.23092389999999"/>
    <x v="29"/>
    <x v="29"/>
    <s v="Decreasing"/>
  </r>
  <r>
    <x v="30"/>
    <x v="0"/>
    <x v="1"/>
    <n v="119.400002"/>
    <n v="120.089996"/>
    <n v="119.370003"/>
    <n v="119.779999"/>
    <n v="25597300"/>
    <n v="119.262925"/>
    <n v="114.8696971"/>
    <n v="117.6926667"/>
    <n v="120.5156363"/>
    <x v="30"/>
    <x v="30"/>
    <s v="Increasing"/>
  </r>
  <r>
    <x v="31"/>
    <x v="0"/>
    <x v="1"/>
    <n v="120.449997"/>
    <n v="120.449997"/>
    <n v="119.730003"/>
    <n v="120"/>
    <n v="32597900"/>
    <n v="119.481976"/>
    <n v="114.8577538"/>
    <n v="117.8435001"/>
    <n v="120.82924629999999"/>
    <x v="31"/>
    <x v="31"/>
    <s v="Decreasing"/>
  </r>
  <r>
    <x v="32"/>
    <x v="0"/>
    <x v="1"/>
    <n v="120"/>
    <n v="120.80999799999999"/>
    <n v="119.769997"/>
    <n v="120.08000199999999"/>
    <n v="22050200"/>
    <n v="119.561633"/>
    <n v="114.8653688"/>
    <n v="118.0005"/>
    <n v="121.13563120000001"/>
    <x v="32"/>
    <x v="32"/>
    <s v="Increasing"/>
  </r>
  <r>
    <x v="33"/>
    <x v="0"/>
    <x v="1"/>
    <n v="119.550003"/>
    <n v="120.099998"/>
    <n v="119.5"/>
    <n v="119.970001"/>
    <n v="23211000"/>
    <n v="119.452107"/>
    <n v="115.0726195"/>
    <n v="118.18600000000001"/>
    <n v="121.2993805"/>
    <x v="33"/>
    <x v="33"/>
    <s v="Increasing"/>
  </r>
  <r>
    <x v="34"/>
    <x v="0"/>
    <x v="1"/>
    <n v="120.41999800000001"/>
    <n v="122.099998"/>
    <n v="120.279999"/>
    <n v="121.879997"/>
    <n v="32377600"/>
    <n v="121.353858"/>
    <n v="115.17044629999999"/>
    <n v="118.44650009999999"/>
    <n v="121.7225538"/>
    <x v="34"/>
    <x v="34"/>
    <s v="Increasing"/>
  </r>
  <r>
    <x v="35"/>
    <x v="0"/>
    <x v="1"/>
    <n v="121.66999800000001"/>
    <n v="122.44000200000001"/>
    <n v="121.599998"/>
    <n v="121.94000200000001"/>
    <n v="26337600"/>
    <n v="121.41360400000001"/>
    <n v="115.1235669"/>
    <n v="118.687"/>
    <n v="122.2504332"/>
    <x v="35"/>
    <x v="35"/>
    <s v="Increasing"/>
  </r>
  <r>
    <x v="36"/>
    <x v="0"/>
    <x v="1"/>
    <n v="122.139999"/>
    <n v="122.349998"/>
    <n v="121.599998"/>
    <n v="121.949997"/>
    <n v="20562900"/>
    <n v="121.42355499999999"/>
    <n v="115.1902357"/>
    <n v="118.9356667"/>
    <n v="122.6810976"/>
    <x v="36"/>
    <x v="36"/>
    <s v="Decreasing"/>
  </r>
  <r>
    <x v="37"/>
    <x v="0"/>
    <x v="1"/>
    <n v="120.93"/>
    <n v="121.629997"/>
    <n v="120.660004"/>
    <n v="121.629997"/>
    <n v="30377500"/>
    <n v="121.10493700000001"/>
    <n v="115.42384"/>
    <n v="119.16366650000001"/>
    <n v="122.903493"/>
    <x v="37"/>
    <x v="37"/>
    <s v="Increasing"/>
  </r>
  <r>
    <x v="38"/>
    <x v="0"/>
    <x v="1"/>
    <n v="121.150002"/>
    <n v="121.389999"/>
    <n v="120.620003"/>
    <n v="121.349998"/>
    <n v="49201000"/>
    <n v="120.82614700000001"/>
    <n v="115.85010219999999"/>
    <n v="119.41216660000001"/>
    <n v="122.974231"/>
    <x v="38"/>
    <x v="38"/>
    <s v="Increasing"/>
  </r>
  <r>
    <x v="39"/>
    <x v="1"/>
    <x v="2"/>
    <n v="127.489998"/>
    <n v="128.88000500000001"/>
    <n v="126.91999800000001"/>
    <n v="127.83000199999999"/>
    <n v="63152400"/>
    <n v="122.905254"/>
    <n v="106.74105230000001"/>
    <n v="117.92766690000001"/>
    <n v="129.11428140000001"/>
    <x v="24"/>
    <x v="39"/>
    <s v="Increasing"/>
  </r>
  <r>
    <x v="40"/>
    <x v="1"/>
    <x v="2"/>
    <n v="127.629997"/>
    <n v="128.779999"/>
    <n v="127.449997"/>
    <n v="128.720001"/>
    <n v="44891700"/>
    <n v="123.760965"/>
    <n v="107.842423"/>
    <n v="118.94033349999999"/>
    <n v="130.0382439"/>
    <x v="39"/>
    <x v="40"/>
    <s v="Increasing"/>
  </r>
  <r>
    <x v="41"/>
    <x v="1"/>
    <x v="2"/>
    <n v="128.479996"/>
    <n v="129.029999"/>
    <n v="128.33000200000001"/>
    <n v="128.449997"/>
    <n v="37362400"/>
    <n v="123.501363"/>
    <n v="108.8942449"/>
    <n v="119.8891668"/>
    <n v="130.88408870000001"/>
    <x v="40"/>
    <x v="41"/>
    <s v="Decreasing"/>
  </r>
  <r>
    <x v="42"/>
    <x v="1"/>
    <x v="2"/>
    <n v="128.61999499999999"/>
    <n v="129.5"/>
    <n v="128.050003"/>
    <n v="129.5"/>
    <n v="48948400"/>
    <n v="124.510914"/>
    <n v="109.7854494"/>
    <n v="120.7635001"/>
    <n v="131.74155089999999"/>
    <x v="41"/>
    <x v="42"/>
    <s v="Increasing"/>
  </r>
  <r>
    <x v="43"/>
    <x v="1"/>
    <x v="2"/>
    <n v="130.020004"/>
    <n v="133"/>
    <n v="129.66000399999999"/>
    <n v="133"/>
    <n v="70974100"/>
    <n v="127.876074"/>
    <n v="110.37251620000001"/>
    <n v="121.7201668"/>
    <n v="133.0678174"/>
    <x v="42"/>
    <x v="43"/>
    <s v="Increasing"/>
  </r>
  <r>
    <x v="44"/>
    <x v="1"/>
    <x v="2"/>
    <n v="132.94000199999999"/>
    <n v="133.60000600000001"/>
    <n v="131.16999799999999"/>
    <n v="132.16999799999999"/>
    <n v="69228100"/>
    <n v="127.07804899999999"/>
    <n v="111.09486889999999"/>
    <n v="122.6648335"/>
    <n v="134.23479810000001"/>
    <x v="43"/>
    <x v="44"/>
    <s v="Decreasing"/>
  </r>
  <r>
    <x v="45"/>
    <x v="1"/>
    <x v="2"/>
    <n v="131.55999800000001"/>
    <n v="131.60000600000001"/>
    <n v="128.14999399999999"/>
    <n v="128.78999300000001"/>
    <n v="74711700"/>
    <n v="123.828261"/>
    <n v="113.21191829999999"/>
    <n v="123.6296667"/>
    <n v="134.04741509999999"/>
    <x v="44"/>
    <x v="45"/>
    <s v="Decreasing"/>
  </r>
  <r>
    <x v="46"/>
    <x v="1"/>
    <x v="2"/>
    <n v="128.78999300000001"/>
    <n v="130.86999499999999"/>
    <n v="126.610001"/>
    <n v="130.41999799999999"/>
    <n v="91287500"/>
    <n v="125.39546900000001"/>
    <n v="114.1652991"/>
    <n v="124.2823333"/>
    <n v="134.39936739999999"/>
    <x v="45"/>
    <x v="46"/>
    <s v="Increasing"/>
  </r>
  <r>
    <x v="47"/>
    <x v="1"/>
    <x v="2"/>
    <n v="130"/>
    <n v="130.570007"/>
    <n v="128.240005"/>
    <n v="128.46000699999999"/>
    <n v="62014800"/>
    <n v="123.510987"/>
    <n v="114.9668484"/>
    <n v="124.8426669"/>
    <n v="134.71848539999999"/>
    <x v="46"/>
    <x v="47"/>
    <s v="Decreasing"/>
  </r>
  <r>
    <x v="48"/>
    <x v="1"/>
    <x v="0"/>
    <n v="96.470000999999996"/>
    <n v="96.709998999999996"/>
    <n v="95.400002000000001"/>
    <n v="96.43"/>
    <n v="40943500"/>
    <n v="93.923996000000002"/>
    <n v="93.009258560000006"/>
    <n v="98.3228328"/>
    <n v="103.63640700000001"/>
    <x v="47"/>
    <x v="48"/>
    <s v="Decreasing"/>
  </r>
  <r>
    <x v="49"/>
    <x v="1"/>
    <x v="0"/>
    <n v="95.419998000000007"/>
    <n v="96.040001000000004"/>
    <n v="94.279999000000004"/>
    <n v="94.480002999999996"/>
    <n v="37357200"/>
    <n v="92.024675999999999"/>
    <n v="93.096922169999999"/>
    <n v="97.857499500000003"/>
    <n v="102.6180768"/>
    <x v="48"/>
    <x v="49"/>
    <s v="Decreasing"/>
  </r>
  <r>
    <x v="50"/>
    <x v="1"/>
    <x v="0"/>
    <n v="95"/>
    <n v="96.839995999999999"/>
    <n v="94.080001999999993"/>
    <n v="96.349997999999999"/>
    <n v="45964300"/>
    <n v="93.846074000000002"/>
    <n v="93.438120170000005"/>
    <n v="97.46249942"/>
    <n v="101.48687870000001"/>
    <x v="49"/>
    <x v="50"/>
    <s v="Increasing"/>
  </r>
  <r>
    <x v="51"/>
    <x v="1"/>
    <x v="0"/>
    <n v="95.860000999999997"/>
    <n v="97.330001999999993"/>
    <n v="95.190002000000007"/>
    <n v="96.599997999999999"/>
    <n v="46471700"/>
    <n v="94.600127000000001"/>
    <n v="93.524591749999999"/>
    <n v="97.232166070000005"/>
    <n v="100.93974040000001"/>
    <x v="50"/>
    <x v="51"/>
    <s v="Increasing"/>
  </r>
  <r>
    <x v="52"/>
    <x v="1"/>
    <x v="0"/>
    <n v="96.519997000000004"/>
    <n v="96.919998000000007"/>
    <n v="93.690002000000007"/>
    <n v="94.019997000000004"/>
    <n v="46418100"/>
    <n v="92.073537999999999"/>
    <n v="93.253304569999997"/>
    <n v="97.092499450000005"/>
    <n v="100.9316943"/>
    <x v="51"/>
    <x v="52"/>
    <s v="Decreasing"/>
  </r>
  <r>
    <x v="53"/>
    <x v="1"/>
    <x v="0"/>
    <n v="93.129997000000003"/>
    <n v="95.699996999999996"/>
    <n v="93.040001000000004"/>
    <n v="95.010002"/>
    <n v="54021400"/>
    <n v="93.043047999999999"/>
    <n v="92.959529279999998"/>
    <n v="96.941166080000002"/>
    <n v="100.92280289999999"/>
    <x v="52"/>
    <x v="53"/>
    <s v="Increasing"/>
  </r>
  <r>
    <x v="54"/>
    <x v="1"/>
    <x v="0"/>
    <n v="94.290001000000004"/>
    <n v="95.940002000000007"/>
    <n v="93.93"/>
    <n v="94.989998"/>
    <n v="44331200"/>
    <n v="93.023458000000005"/>
    <n v="92.753840920000002"/>
    <n v="96.773332870000004"/>
    <n v="100.79282480000001"/>
    <x v="37"/>
    <x v="54"/>
    <s v="Increasing"/>
  </r>
  <r>
    <x v="55"/>
    <x v="1"/>
    <x v="0"/>
    <n v="95.919998000000007"/>
    <n v="96.349997999999999"/>
    <n v="94.099997999999999"/>
    <n v="94.269997000000004"/>
    <n v="42343600"/>
    <n v="92.318363000000005"/>
    <n v="92.687612520000002"/>
    <n v="96.527166129999998"/>
    <n v="100.3667197"/>
    <x v="53"/>
    <x v="55"/>
    <s v="Decreasing"/>
  </r>
  <r>
    <x v="56"/>
    <x v="1"/>
    <x v="0"/>
    <n v="93.790001000000004"/>
    <n v="94.720000999999996"/>
    <n v="92.589995999999999"/>
    <n v="93.699996999999996"/>
    <n v="50074700"/>
    <n v="91.760163000000006"/>
    <n v="92.374516819999997"/>
    <n v="96.279332629999999"/>
    <n v="100.1841484"/>
    <x v="54"/>
    <x v="56"/>
    <s v="Decreasing"/>
  </r>
  <r>
    <x v="57"/>
    <x v="1"/>
    <x v="0"/>
    <n v="94.190002000000007"/>
    <n v="94.5"/>
    <n v="93.010002"/>
    <n v="93.989998"/>
    <n v="40351400"/>
    <n v="92.044160000000005"/>
    <n v="92.148383120000005"/>
    <n v="96.041999329999996"/>
    <n v="99.935615540000001"/>
    <x v="55"/>
    <x v="57"/>
    <s v="Decreasing"/>
  </r>
  <r>
    <x v="58"/>
    <x v="1"/>
    <x v="0"/>
    <n v="95.019997000000004"/>
    <n v="96.849997999999999"/>
    <n v="94.610000999999997"/>
    <n v="96.639999000000003"/>
    <n v="49057900"/>
    <n v="94.639300000000006"/>
    <n v="92.126306889999995"/>
    <n v="96.006999350000001"/>
    <n v="99.887691810000007"/>
    <x v="56"/>
    <x v="58"/>
    <s v="Increasing"/>
  </r>
  <r>
    <x v="59"/>
    <x v="1"/>
    <x v="0"/>
    <n v="96.669998000000007"/>
    <n v="98.209998999999996"/>
    <n v="96.150002000000001"/>
    <n v="98.120002999999997"/>
    <n v="44863200"/>
    <n v="96.088663999999994"/>
    <n v="92.120032949999995"/>
    <n v="96.034832649999998"/>
    <n v="99.949632350000002"/>
    <x v="57"/>
    <x v="59"/>
    <s v="Increasing"/>
  </r>
  <r>
    <x v="60"/>
    <x v="1"/>
    <x v="0"/>
    <n v="98.839995999999999"/>
    <n v="98.889999000000003"/>
    <n v="96.089995999999999"/>
    <n v="96.260002"/>
    <n v="39021000"/>
    <n v="94.267169999999993"/>
    <n v="92.140944149999996"/>
    <n v="96.082165919999994"/>
    <n v="100.0233877"/>
    <x v="58"/>
    <x v="60"/>
    <s v="Decreasing"/>
  </r>
  <r>
    <x v="61"/>
    <x v="1"/>
    <x v="0"/>
    <n v="96"/>
    <n v="96.760002"/>
    <n v="95.800003000000004"/>
    <n v="96.040001000000004"/>
    <n v="35374200"/>
    <n v="94.051722999999996"/>
    <n v="92.134114870000005"/>
    <n v="96.073499319999996"/>
    <n v="100.0128838"/>
    <x v="59"/>
    <x v="61"/>
    <s v="Increasing"/>
  </r>
  <r>
    <x v="62"/>
    <x v="1"/>
    <x v="0"/>
    <n v="96.309997999999993"/>
    <n v="96.900002000000001"/>
    <n v="95.919998000000007"/>
    <n v="96.879997000000003"/>
    <n v="34280800"/>
    <n v="94.874329000000003"/>
    <n v="92.468295519999998"/>
    <n v="95.880999270000004"/>
    <n v="99.293703010000002"/>
    <x v="60"/>
    <x v="62"/>
    <s v="Increasing"/>
  </r>
  <r>
    <x v="63"/>
    <x v="1"/>
    <x v="0"/>
    <n v="96.400002000000001"/>
    <n v="96.5"/>
    <n v="94.550003000000004"/>
    <n v="94.690002000000007"/>
    <n v="31942600"/>
    <n v="92.729673000000005"/>
    <n v="92.811458180000002"/>
    <n v="95.64033268"/>
    <n v="98.469207190000006"/>
    <x v="61"/>
    <x v="63"/>
    <s v="Decreasing"/>
  </r>
  <r>
    <x v="64"/>
    <x v="1"/>
    <x v="0"/>
    <n v="93.980002999999996"/>
    <n v="96.379997000000003"/>
    <n v="93.32"/>
    <n v="96.099997999999999"/>
    <n v="36255700"/>
    <n v="94.110478999999998"/>
    <n v="93.269944120000005"/>
    <n v="95.421332680000006"/>
    <n v="97.572721250000001"/>
    <x v="62"/>
    <x v="64"/>
    <s v="Increasing"/>
  </r>
  <r>
    <x v="65"/>
    <x v="1"/>
    <x v="0"/>
    <n v="96.050003000000004"/>
    <n v="96.760002"/>
    <n v="95.25"/>
    <n v="96.760002"/>
    <n v="27582700"/>
    <n v="94.756817999999996"/>
    <n v="93.377383980000005"/>
    <n v="95.510999569999996"/>
    <n v="97.644615150000007"/>
    <x v="63"/>
    <x v="65"/>
    <s v="Increasing"/>
  </r>
  <r>
    <x v="66"/>
    <x v="1"/>
    <x v="0"/>
    <n v="97.199996999999996"/>
    <n v="98.019997000000004"/>
    <n v="96.580001999999993"/>
    <n v="96.910004000000001"/>
    <n v="28991100"/>
    <n v="94.903715000000005"/>
    <n v="93.612588790000004"/>
    <n v="95.686166420000006"/>
    <n v="97.759744040000001"/>
    <x v="64"/>
    <x v="66"/>
    <s v="Decreasing"/>
  </r>
  <r>
    <x v="67"/>
    <x v="1"/>
    <x v="0"/>
    <n v="96.860000999999997"/>
    <n v="98.230002999999996"/>
    <n v="96.650002000000001"/>
    <n v="96.690002000000007"/>
    <n v="35216300"/>
    <n v="94.688267999999994"/>
    <n v="93.570147109999994"/>
    <n v="95.728500030000006"/>
    <n v="97.886852959999999"/>
    <x v="65"/>
    <x v="67"/>
    <s v="Decreasing"/>
  </r>
  <r>
    <x v="68"/>
    <x v="1"/>
    <x v="1"/>
    <n v="127.029999"/>
    <n v="130.490005"/>
    <n v="127.010002"/>
    <n v="128.75"/>
    <n v="111985000"/>
    <n v="128.19420299999999"/>
    <n v="114.98795680000001"/>
    <n v="120.06233330000001"/>
    <n v="125.1367097"/>
    <x v="66"/>
    <x v="68"/>
    <s v="Increasing"/>
  </r>
  <r>
    <x v="69"/>
    <x v="1"/>
    <x v="1"/>
    <n v="127.980003"/>
    <n v="129.38999899999999"/>
    <n v="127.779999"/>
    <n v="128.529999"/>
    <n v="33710400"/>
    <n v="127.97515199999999"/>
    <n v="114.72717470000001"/>
    <n v="120.6859999"/>
    <n v="126.64482510000001"/>
    <x v="67"/>
    <x v="69"/>
    <s v="Increasing"/>
  </r>
  <r>
    <x v="70"/>
    <x v="1"/>
    <x v="1"/>
    <n v="128.30999800000001"/>
    <n v="129.19000199999999"/>
    <n v="128.16000399999999"/>
    <n v="129.08000200000001"/>
    <n v="24507300"/>
    <n v="128.52278100000001"/>
    <n v="114.70625560000001"/>
    <n v="121.3051667"/>
    <n v="127.9040778"/>
    <x v="68"/>
    <x v="70"/>
    <s v="Increasing"/>
  </r>
  <r>
    <x v="71"/>
    <x v="1"/>
    <x v="1"/>
    <n v="129.13000500000001"/>
    <n v="130.5"/>
    <n v="128.89999399999999"/>
    <n v="130.28999300000001"/>
    <n v="26845900"/>
    <n v="129.72754900000001"/>
    <n v="114.5827171"/>
    <n v="121.924333"/>
    <n v="129.26594890000001"/>
    <x v="69"/>
    <x v="71"/>
    <s v="Increasing"/>
  </r>
  <r>
    <x v="72"/>
    <x v="1"/>
    <x v="1"/>
    <n v="130.53999300000001"/>
    <n v="132.08999600000001"/>
    <n v="130.449997"/>
    <n v="131.529999"/>
    <n v="38183800"/>
    <n v="130.96220099999999"/>
    <n v="114.2978913"/>
    <n v="122.5528329"/>
    <n v="130.8077744"/>
    <x v="70"/>
    <x v="72"/>
    <s v="Increasing"/>
  </r>
  <r>
    <x v="73"/>
    <x v="1"/>
    <x v="1"/>
    <n v="131.35000600000001"/>
    <n v="132.220001"/>
    <n v="131.220001"/>
    <n v="132.03999300000001"/>
    <n v="23004100"/>
    <n v="131.46999400000001"/>
    <n v="114.1945206"/>
    <n v="123.19766610000001"/>
    <n v="132.20081160000001"/>
    <x v="71"/>
    <x v="73"/>
    <s v="Increasing"/>
  </r>
  <r>
    <x v="74"/>
    <x v="1"/>
    <x v="1"/>
    <n v="131.64999399999999"/>
    <n v="132.449997"/>
    <n v="131.11999499999999"/>
    <n v="132.41999799999999"/>
    <n v="28349900"/>
    <n v="132.41999799999999"/>
    <n v="114.22840770000001"/>
    <n v="123.826166"/>
    <n v="133.42392419999999"/>
    <x v="68"/>
    <x v="74"/>
    <s v="Increasing"/>
  </r>
  <r>
    <x v="75"/>
    <x v="1"/>
    <x v="1"/>
    <n v="132.46000699999999"/>
    <n v="132.94000199999999"/>
    <n v="132.050003"/>
    <n v="132.11999499999999"/>
    <n v="20065500"/>
    <n v="132.11999499999999"/>
    <n v="114.49400369999999"/>
    <n v="124.49866590000001"/>
    <n v="134.5033282"/>
    <x v="72"/>
    <x v="75"/>
    <s v="Decreasing"/>
  </r>
  <r>
    <x v="76"/>
    <x v="1"/>
    <x v="1"/>
    <n v="133.08000200000001"/>
    <n v="133.820007"/>
    <n v="132.75"/>
    <n v="133.28999300000001"/>
    <n v="23035400"/>
    <n v="133.28999300000001"/>
    <n v="114.82079779999999"/>
    <n v="125.2051659"/>
    <n v="135.58953389999999"/>
    <x v="73"/>
    <x v="76"/>
    <s v="Increasing"/>
  </r>
  <r>
    <x v="77"/>
    <x v="1"/>
    <x v="1"/>
    <n v="133.470001"/>
    <n v="135.08999600000001"/>
    <n v="133.25"/>
    <n v="135.020004"/>
    <n v="32815500"/>
    <n v="135.020004"/>
    <n v="115.1757183"/>
    <n v="125.9534992"/>
    <n v="136.73128009999999"/>
    <x v="74"/>
    <x v="77"/>
    <s v="Increasing"/>
  </r>
  <r>
    <x v="78"/>
    <x v="1"/>
    <x v="1"/>
    <n v="135.520004"/>
    <n v="136.270004"/>
    <n v="134.61999499999999"/>
    <n v="135.509995"/>
    <n v="35501600"/>
    <n v="135.509995"/>
    <n v="115.5450349"/>
    <n v="126.72349920000001"/>
    <n v="137.9019634"/>
    <x v="75"/>
    <x v="78"/>
    <s v="Decreasing"/>
  </r>
  <r>
    <x v="79"/>
    <x v="1"/>
    <x v="1"/>
    <n v="135.66999799999999"/>
    <n v="135.89999399999999"/>
    <n v="134.83999600000001"/>
    <n v="135.35000600000001"/>
    <n v="22118000"/>
    <n v="135.35000600000001"/>
    <n v="116.2032988"/>
    <n v="127.5043325"/>
    <n v="138.80536620000001"/>
    <x v="76"/>
    <x v="79"/>
    <s v="Decreasing"/>
  </r>
  <r>
    <x v="80"/>
    <x v="2"/>
    <x v="2"/>
    <n v="129.25"/>
    <n v="130.279999"/>
    <n v="128.300003"/>
    <n v="129.08999600000001"/>
    <n v="48096700"/>
    <n v="124.11670599999999"/>
    <n v="115.8770904"/>
    <n v="125.4036668"/>
    <n v="134.93024320000001"/>
    <x v="77"/>
    <x v="80"/>
    <s v="Decreasing"/>
  </r>
  <r>
    <x v="81"/>
    <x v="2"/>
    <x v="2"/>
    <n v="128.96000699999999"/>
    <n v="129.520004"/>
    <n v="128.08999600000001"/>
    <n v="129.36000100000001"/>
    <n v="37816300"/>
    <n v="124.37630799999999"/>
    <n v="116.9535132"/>
    <n v="125.95516689999999"/>
    <n v="134.95682049999999"/>
    <x v="78"/>
    <x v="81"/>
    <s v="Increasing"/>
  </r>
  <r>
    <x v="82"/>
    <x v="2"/>
    <x v="2"/>
    <n v="129.10000600000001"/>
    <n v="129.55999800000001"/>
    <n v="128.320007"/>
    <n v="128.53999300000001"/>
    <n v="31666300"/>
    <n v="123.587892"/>
    <n v="118.08742530000001"/>
    <n v="126.4730002"/>
    <n v="134.8585751"/>
    <x v="79"/>
    <x v="82"/>
    <s v="Decreasing"/>
  </r>
  <r>
    <x v="83"/>
    <x v="2"/>
    <x v="2"/>
    <n v="128.58000200000001"/>
    <n v="128.75"/>
    <n v="125.760002"/>
    <n v="126.410004"/>
    <n v="56517100"/>
    <n v="121.539962"/>
    <n v="119.1048311"/>
    <n v="126.84866700000001"/>
    <n v="134.5925029"/>
    <x v="80"/>
    <x v="83"/>
    <s v="Decreasing"/>
  </r>
  <r>
    <x v="84"/>
    <x v="2"/>
    <x v="2"/>
    <n v="128.39999399999999"/>
    <n v="129.36999499999999"/>
    <n v="126.260002"/>
    <n v="126.599998"/>
    <n v="72842100"/>
    <n v="121.72263700000001"/>
    <n v="120.190797"/>
    <n v="127.22883349999999"/>
    <n v="134.26687000000001"/>
    <x v="81"/>
    <x v="84"/>
    <s v="Decreasing"/>
  </r>
  <r>
    <x v="85"/>
    <x v="2"/>
    <x v="2"/>
    <n v="127.959999"/>
    <n v="129.570007"/>
    <n v="125.05999799999999"/>
    <n v="127.139999"/>
    <n v="88528500"/>
    <n v="122.241834"/>
    <n v="121.6289771"/>
    <n v="127.631167"/>
    <n v="133.6333568"/>
    <x v="82"/>
    <x v="85"/>
    <s v="Decreasing"/>
  </r>
  <r>
    <x v="86"/>
    <x v="2"/>
    <x v="2"/>
    <n v="126.410004"/>
    <n v="127.220001"/>
    <n v="123.800003"/>
    <n v="124.510002"/>
    <n v="68856600"/>
    <n v="119.71316"/>
    <n v="123.1164763"/>
    <n v="127.92350039999999"/>
    <n v="132.7305246"/>
    <x v="83"/>
    <x v="86"/>
    <s v="Decreasing"/>
  </r>
  <r>
    <x v="87"/>
    <x v="2"/>
    <x v="2"/>
    <n v="124.75"/>
    <n v="124.769997"/>
    <n v="122.110001"/>
    <n v="122.239998"/>
    <n v="68939000"/>
    <n v="117.530609"/>
    <n v="123.59275599999999"/>
    <n v="128.00333370000001"/>
    <n v="132.4139113"/>
    <x v="84"/>
    <x v="87"/>
    <s v="Decreasing"/>
  </r>
  <r>
    <x v="88"/>
    <x v="2"/>
    <x v="2"/>
    <n v="122.30999799999999"/>
    <n v="124.900002"/>
    <n v="121.629997"/>
    <n v="124.449997"/>
    <n v="48362700"/>
    <n v="119.655466"/>
    <n v="123.4894559"/>
    <n v="127.98133369999999"/>
    <n v="132.4732114"/>
    <x v="85"/>
    <x v="88"/>
    <s v="Increasing"/>
  </r>
  <r>
    <x v="89"/>
    <x v="2"/>
    <x v="2"/>
    <n v="124.400002"/>
    <n v="125.400002"/>
    <n v="122.58000199999999"/>
    <n v="123.589996"/>
    <n v="51827300"/>
    <n v="118.828598"/>
    <n v="123.04560600000001"/>
    <n v="127.8490003"/>
    <n v="132.65239460000001"/>
    <x v="86"/>
    <x v="89"/>
    <s v="Decreasing"/>
  </r>
  <r>
    <x v="90"/>
    <x v="2"/>
    <x v="2"/>
    <n v="123.879997"/>
    <n v="124.949997"/>
    <n v="122.870003"/>
    <n v="124.949997"/>
    <n v="35874300"/>
    <n v="120.13620299999999"/>
    <n v="122.6967016"/>
    <n v="127.72833350000001"/>
    <n v="132.75996549999999"/>
    <x v="87"/>
    <x v="90"/>
    <s v="Increasing"/>
  </r>
  <r>
    <x v="91"/>
    <x v="2"/>
    <x v="2"/>
    <n v="125.900002"/>
    <n v="127.32"/>
    <n v="125.650002"/>
    <n v="127.040001"/>
    <n v="51023100"/>
    <n v="122.14568800000001"/>
    <n v="122.616033"/>
    <n v="127.66800019999999"/>
    <n v="132.7199674"/>
    <x v="88"/>
    <x v="91"/>
    <s v="Increasing"/>
  </r>
  <r>
    <x v="92"/>
    <x v="2"/>
    <x v="2"/>
    <n v="127"/>
    <n v="129.16000399999999"/>
    <n v="126.370003"/>
    <n v="128.470001"/>
    <n v="65270900"/>
    <n v="123.520597"/>
    <n v="122.60644979999999"/>
    <n v="127.65216700000001"/>
    <n v="132.6978842"/>
    <x v="89"/>
    <x v="92"/>
    <s v="Increasing"/>
  </r>
  <r>
    <x v="93"/>
    <x v="2"/>
    <x v="2"/>
    <n v="128.75"/>
    <n v="129.25"/>
    <n v="127.400002"/>
    <n v="127.5"/>
    <n v="45809500"/>
    <n v="122.58796599999999"/>
    <n v="122.5939029"/>
    <n v="127.6245004"/>
    <n v="132.65509789999999"/>
    <x v="90"/>
    <x v="93"/>
    <s v="Decreasing"/>
  </r>
  <r>
    <x v="94"/>
    <x v="2"/>
    <x v="2"/>
    <n v="128.25"/>
    <n v="128.39999399999999"/>
    <n v="125.160004"/>
    <n v="125.900002"/>
    <n v="68695100"/>
    <n v="121.04960800000001"/>
    <n v="122.4865925"/>
    <n v="127.4980004"/>
    <n v="132.50940829999999"/>
    <x v="91"/>
    <x v="94"/>
    <s v="Decreasing"/>
  </r>
  <r>
    <x v="95"/>
    <x v="2"/>
    <x v="2"/>
    <n v="127.120003"/>
    <n v="127.849998"/>
    <n v="126.519997"/>
    <n v="127.209999"/>
    <n v="37709700"/>
    <n v="122.30913700000001"/>
    <n v="122.6741703"/>
    <n v="127.2633335"/>
    <n v="131.85249680000001"/>
    <x v="92"/>
    <x v="95"/>
    <s v="Increasing"/>
  </r>
  <r>
    <x v="96"/>
    <x v="2"/>
    <x v="2"/>
    <n v="127.230003"/>
    <n v="128.03999300000001"/>
    <n v="126.55999799999999"/>
    <n v="126.69000200000001"/>
    <n v="32842300"/>
    <n v="121.809174"/>
    <n v="123.0410183"/>
    <n v="127.00250010000001"/>
    <n v="130.9639818"/>
    <x v="93"/>
    <x v="96"/>
    <s v="Decreasing"/>
  </r>
  <r>
    <x v="97"/>
    <x v="2"/>
    <x v="2"/>
    <n v="126.540001"/>
    <n v="126.82"/>
    <n v="123.379997"/>
    <n v="123.379997"/>
    <n v="51655200"/>
    <n v="118.626689"/>
    <n v="122.82763919999999"/>
    <n v="126.75316669999999"/>
    <n v="130.67869429999999"/>
    <x v="94"/>
    <x v="97"/>
    <s v="Decreasing"/>
  </r>
  <r>
    <x v="98"/>
    <x v="2"/>
    <x v="2"/>
    <n v="122.760002"/>
    <n v="124.879997"/>
    <n v="122.599998"/>
    <n v="124.239998"/>
    <n v="47572900"/>
    <n v="119.453558"/>
    <n v="122.5538523"/>
    <n v="126.4835001"/>
    <n v="130.41314779999999"/>
    <x v="95"/>
    <x v="98"/>
    <s v="Increasing"/>
  </r>
  <r>
    <x v="99"/>
    <x v="2"/>
    <x v="2"/>
    <n v="124.57"/>
    <n v="124.699997"/>
    <n v="122.910004"/>
    <n v="123.25"/>
    <n v="39546200"/>
    <n v="118.5017"/>
    <n v="122.28265039999999"/>
    <n v="126.20999980000001"/>
    <n v="130.13734909999999"/>
    <x v="96"/>
    <x v="99"/>
    <s v="Decreasing"/>
  </r>
  <r>
    <x v="100"/>
    <x v="2"/>
    <x v="2"/>
    <n v="124.050003"/>
    <n v="126.400002"/>
    <n v="124"/>
    <n v="126.370003"/>
    <n v="47099700"/>
    <n v="121.501502"/>
    <n v="122.346906"/>
    <n v="126.02833320000001"/>
    <n v="129.70976039999999"/>
    <x v="97"/>
    <x v="100"/>
    <s v="Increasing"/>
  </r>
  <r>
    <x v="101"/>
    <x v="2"/>
    <x v="2"/>
    <n v="126.089996"/>
    <n v="126.489998"/>
    <n v="124.360001"/>
    <n v="124.43"/>
    <n v="42090600"/>
    <n v="119.63624"/>
    <n v="122.395242"/>
    <n v="125.8334998"/>
    <n v="129.27175769999999"/>
    <x v="98"/>
    <x v="101"/>
    <s v="Decreasing"/>
  </r>
  <r>
    <x v="102"/>
    <x v="2"/>
    <x v="0"/>
    <n v="97.650002000000001"/>
    <n v="100.769997"/>
    <n v="97.419998000000007"/>
    <n v="100.529999"/>
    <n v="50407100"/>
    <n v="98.448766000000006"/>
    <n v="93.167028459999997"/>
    <n v="95.898166579999994"/>
    <n v="98.629304700000006"/>
    <x v="99"/>
    <x v="102"/>
    <s v="Increasing"/>
  </r>
  <r>
    <x v="103"/>
    <x v="2"/>
    <x v="0"/>
    <n v="100.510002"/>
    <n v="100.889999"/>
    <n v="99.639999000000003"/>
    <n v="100.75"/>
    <n v="33169600"/>
    <n v="98.664213000000004"/>
    <n v="92.845277060000001"/>
    <n v="96.172833170000004"/>
    <n v="99.500389269999999"/>
    <x v="100"/>
    <x v="103"/>
    <s v="Increasing"/>
  </r>
  <r>
    <x v="104"/>
    <x v="2"/>
    <x v="0"/>
    <n v="100.58000199999999"/>
    <n v="101.709999"/>
    <n v="100.449997"/>
    <n v="101.5"/>
    <n v="36955700"/>
    <n v="99.398685999999998"/>
    <n v="92.466767959999999"/>
    <n v="96.445999830000005"/>
    <n v="100.4252317"/>
    <x v="101"/>
    <x v="104"/>
    <s v="Increasing"/>
  </r>
  <r>
    <x v="105"/>
    <x v="2"/>
    <x v="0"/>
    <n v="102.370003"/>
    <n v="103.75"/>
    <n v="101.370003"/>
    <n v="103.010002"/>
    <n v="46055100"/>
    <n v="100.877427"/>
    <n v="91.937976689999999"/>
    <n v="96.762833220000005"/>
    <n v="101.5876897"/>
    <x v="102"/>
    <x v="105"/>
    <s v="Increasing"/>
  </r>
  <r>
    <x v="106"/>
    <x v="2"/>
    <x v="0"/>
    <n v="102.389999"/>
    <n v="102.83000199999999"/>
    <n v="100.959999"/>
    <n v="101.870003"/>
    <n v="35828900"/>
    <n v="99.761028999999994"/>
    <n v="91.885805230000003"/>
    <n v="97.113333330000003"/>
    <n v="102.34086139999999"/>
    <x v="103"/>
    <x v="106"/>
    <s v="Decreasing"/>
  </r>
  <r>
    <x v="107"/>
    <x v="2"/>
    <x v="0"/>
    <n v="100.779999"/>
    <n v="101.760002"/>
    <n v="100.400002"/>
    <n v="101.029999"/>
    <n v="31561900"/>
    <n v="98.938415000000006"/>
    <n v="92.075666889999994"/>
    <n v="97.437333379999998"/>
    <n v="102.7989999"/>
    <x v="104"/>
    <x v="107"/>
    <s v="Increasing"/>
  </r>
  <r>
    <x v="108"/>
    <x v="2"/>
    <x v="0"/>
    <n v="101.30999799999999"/>
    <n v="101.58000199999999"/>
    <n v="100.269997"/>
    <n v="101.120003"/>
    <n v="27201700"/>
    <n v="99.026555999999999"/>
    <n v="92.291847059999995"/>
    <n v="97.739166749999995"/>
    <n v="103.18648640000001"/>
    <x v="105"/>
    <x v="108"/>
    <s v="Decreasing"/>
  </r>
  <r>
    <x v="109"/>
    <x v="2"/>
    <x v="0"/>
    <n v="101.410004"/>
    <n v="102.239998"/>
    <n v="100.150002"/>
    <n v="101.16999800000001"/>
    <n v="33513600"/>
    <n v="99.075515999999993"/>
    <n v="92.571256239999997"/>
    <n v="98.053166829999995"/>
    <n v="103.53507740000001"/>
    <x v="106"/>
    <x v="109"/>
    <s v="Decreasing"/>
  </r>
  <r>
    <x v="110"/>
    <x v="2"/>
    <x v="0"/>
    <n v="102.239998"/>
    <n v="102.279999"/>
    <n v="101.5"/>
    <n v="102.260002"/>
    <n v="27408200"/>
    <n v="100.142954"/>
    <n v="93.117821890000002"/>
    <n v="98.470333620000005"/>
    <n v="103.8228453"/>
    <x v="107"/>
    <x v="110"/>
    <s v="Increasing"/>
  </r>
  <r>
    <x v="111"/>
    <x v="2"/>
    <x v="0"/>
    <n v="101.910004"/>
    <n v="102.910004"/>
    <n v="101.779999"/>
    <n v="102.519997"/>
    <n v="25076100"/>
    <n v="100.397566"/>
    <n v="93.730828610000003"/>
    <n v="98.898833620000005"/>
    <n v="104.0668386"/>
    <x v="108"/>
    <x v="111"/>
    <s v="Increasing"/>
  </r>
  <r>
    <x v="112"/>
    <x v="2"/>
    <x v="0"/>
    <n v="103.959999"/>
    <n v="105.18"/>
    <n v="103.849998"/>
    <n v="104.58000199999999"/>
    <n v="40067700"/>
    <n v="102.414924"/>
    <n v="93.783240259999999"/>
    <n v="99.324000319999996"/>
    <n v="104.86476039999999"/>
    <x v="109"/>
    <x v="112"/>
    <s v="Increasing"/>
  </r>
  <r>
    <x v="113"/>
    <x v="2"/>
    <x v="0"/>
    <n v="104.610001"/>
    <n v="106.30999799999999"/>
    <n v="104.589996"/>
    <n v="105.970001"/>
    <n v="38303500"/>
    <n v="103.77614699999999"/>
    <n v="93.622709959999995"/>
    <n v="99.730500169999999"/>
    <n v="105.83829040000001"/>
    <x v="110"/>
    <x v="113"/>
    <s v="Increasing"/>
  </r>
  <r>
    <x v="114"/>
    <x v="2"/>
    <x v="0"/>
    <n v="105.519997"/>
    <n v="106.470001"/>
    <n v="104.959999"/>
    <n v="105.800003"/>
    <n v="34420700"/>
    <n v="103.609668"/>
    <n v="93.653646109999997"/>
    <n v="100.1636669"/>
    <n v="106.6736878"/>
    <x v="111"/>
    <x v="114"/>
    <s v="Increasing"/>
  </r>
  <r>
    <x v="115"/>
    <x v="2"/>
    <x v="0"/>
    <n v="106.339996"/>
    <n v="106.5"/>
    <n v="105.19000200000001"/>
    <n v="105.91999800000001"/>
    <n v="44205200"/>
    <n v="103.72717900000001"/>
    <n v="93.952721229999995"/>
    <n v="100.64716679999999"/>
    <n v="107.3416124"/>
    <x v="112"/>
    <x v="115"/>
    <s v="Decreasing"/>
  </r>
  <r>
    <x v="116"/>
    <x v="2"/>
    <x v="0"/>
    <n v="105.93"/>
    <n v="107.650002"/>
    <n v="105.139999"/>
    <n v="105.910004"/>
    <n v="35502700"/>
    <n v="103.71739100000001"/>
    <n v="94.29002414"/>
    <n v="101.13050029999999"/>
    <n v="107.97097650000001"/>
    <x v="113"/>
    <x v="116"/>
    <s v="Decreasing"/>
  </r>
  <r>
    <x v="117"/>
    <x v="2"/>
    <x v="0"/>
    <n v="105.25"/>
    <n v="107.290001"/>
    <n v="105.209999"/>
    <n v="106.720001"/>
    <n v="32444400"/>
    <n v="104.51062"/>
    <n v="95.040917989999997"/>
    <n v="101.68850019999999"/>
    <n v="108.3360825"/>
    <x v="89"/>
    <x v="117"/>
    <s v="Increasing"/>
  </r>
  <r>
    <x v="118"/>
    <x v="2"/>
    <x v="0"/>
    <n v="106.480003"/>
    <n v="107.07"/>
    <n v="105.900002"/>
    <n v="106.129997"/>
    <n v="25703500"/>
    <n v="103.93283"/>
    <n v="95.991516340000004"/>
    <n v="102.24350029999999"/>
    <n v="108.4954843"/>
    <x v="114"/>
    <x v="118"/>
    <s v="Decreasing"/>
  </r>
  <r>
    <x v="119"/>
    <x v="2"/>
    <x v="0"/>
    <n v="105.470001"/>
    <n v="106.25"/>
    <n v="104.889999"/>
    <n v="105.66999800000001"/>
    <n v="26133000"/>
    <n v="103.482354"/>
    <n v="96.939961479999994"/>
    <n v="102.71083350000001"/>
    <n v="108.4817056"/>
    <x v="115"/>
    <x v="119"/>
    <s v="Increasing"/>
  </r>
  <r>
    <x v="120"/>
    <x v="2"/>
    <x v="0"/>
    <n v="106"/>
    <n v="106.19000200000001"/>
    <n v="105.05999799999999"/>
    <n v="105.19000200000001"/>
    <n v="19411400"/>
    <n v="103.01229600000001"/>
    <n v="97.834273830000001"/>
    <n v="103.1263335"/>
    <n v="108.4183932"/>
    <x v="116"/>
    <x v="120"/>
    <s v="Decreasing"/>
  </r>
  <r>
    <x v="121"/>
    <x v="2"/>
    <x v="0"/>
    <n v="104.889999"/>
    <n v="107.790001"/>
    <n v="104.879997"/>
    <n v="107.68"/>
    <n v="31190100"/>
    <n v="105.450744"/>
    <n v="98.840257820000005"/>
    <n v="103.60599999999999"/>
    <n v="108.3717422"/>
    <x v="13"/>
    <x v="121"/>
    <s v="Increasing"/>
  </r>
  <r>
    <x v="122"/>
    <x v="2"/>
    <x v="0"/>
    <n v="108.650002"/>
    <n v="110.41999800000001"/>
    <n v="108.599998"/>
    <n v="109.55999799999999"/>
    <n v="45601100"/>
    <n v="107.291821"/>
    <n v="99.055896790000006"/>
    <n v="104.10366670000001"/>
    <n v="109.1514366"/>
    <x v="117"/>
    <x v="122"/>
    <s v="Increasing"/>
  </r>
  <r>
    <x v="123"/>
    <x v="2"/>
    <x v="0"/>
    <n v="109.720001"/>
    <n v="109.900002"/>
    <n v="108.879997"/>
    <n v="108.989998"/>
    <n v="25888400"/>
    <n v="106.733621"/>
    <n v="99.319565760000003"/>
    <n v="104.5451667"/>
    <n v="109.7707676"/>
    <x v="118"/>
    <x v="123"/>
    <s v="Decreasing"/>
  </r>
  <r>
    <x v="124"/>
    <x v="3"/>
    <x v="2"/>
    <n v="124.82"/>
    <n v="125.120003"/>
    <n v="123.099998"/>
    <n v="124.25"/>
    <n v="40621400"/>
    <n v="119.463174"/>
    <n v="122.3761274"/>
    <n v="125.60099990000001"/>
    <n v="128.82587229999999"/>
    <x v="119"/>
    <x v="124"/>
    <s v="Decreasing"/>
  </r>
  <r>
    <x v="125"/>
    <x v="3"/>
    <x v="2"/>
    <n v="125.029999"/>
    <n v="125.55999799999999"/>
    <n v="124.19000200000001"/>
    <n v="125.32"/>
    <n v="32220100"/>
    <n v="120.491951"/>
    <n v="122.33303359999999"/>
    <n v="125.5034998"/>
    <n v="128.67396600000001"/>
    <x v="120"/>
    <x v="125"/>
    <s v="Increasing"/>
  </r>
  <r>
    <x v="126"/>
    <x v="3"/>
    <x v="2"/>
    <n v="124.470001"/>
    <n v="127.510002"/>
    <n v="124.33000199999999"/>
    <n v="127.349998"/>
    <n v="37194000"/>
    <n v="122.443743"/>
    <n v="122.374816"/>
    <n v="125.4528332"/>
    <n v="128.53085050000001"/>
    <x v="99"/>
    <x v="126"/>
    <s v="Increasing"/>
  </r>
  <r>
    <x v="127"/>
    <x v="3"/>
    <x v="2"/>
    <n v="127.639999"/>
    <n v="128.11999499999999"/>
    <n v="125.980003"/>
    <n v="126.010002"/>
    <n v="35012300"/>
    <n v="121.155371"/>
    <n v="122.40306219999999"/>
    <n v="125.4251665"/>
    <n v="128.44727080000001"/>
    <x v="121"/>
    <x v="127"/>
    <s v="Decreasing"/>
  </r>
  <r>
    <x v="128"/>
    <x v="3"/>
    <x v="2"/>
    <n v="125.849998"/>
    <n v="126.400002"/>
    <n v="124.970001"/>
    <n v="125.599998"/>
    <n v="37329200"/>
    <n v="120.761163"/>
    <n v="122.42771329999999"/>
    <n v="125.4491664"/>
    <n v="128.4706195"/>
    <x v="122"/>
    <x v="128"/>
    <s v="Decreasing"/>
  </r>
  <r>
    <x v="129"/>
    <x v="3"/>
    <x v="2"/>
    <n v="125.849998"/>
    <n v="126.58000199999999"/>
    <n v="124.660004"/>
    <n v="126.55999799999999"/>
    <n v="32484000"/>
    <n v="121.68417700000001"/>
    <n v="122.7775359"/>
    <n v="125.59383320000001"/>
    <n v="128.41013050000001"/>
    <x v="123"/>
    <x v="129"/>
    <s v="Increasing"/>
  </r>
  <r>
    <x v="130"/>
    <x v="3"/>
    <x v="2"/>
    <n v="125.949997"/>
    <n v="127.209999"/>
    <n v="125.260002"/>
    <n v="127.099998"/>
    <n v="40188000"/>
    <n v="122.203374"/>
    <n v="123.0398914"/>
    <n v="125.7369999"/>
    <n v="128.43410850000001"/>
    <x v="124"/>
    <x v="130"/>
    <s v="Increasing"/>
  </r>
  <r>
    <x v="131"/>
    <x v="3"/>
    <x v="2"/>
    <n v="128.36999499999999"/>
    <n v="128.570007"/>
    <n v="126.610001"/>
    <n v="126.849998"/>
    <n v="36365100"/>
    <n v="121.96300599999999"/>
    <n v="123.272819"/>
    <n v="125.9113334"/>
    <n v="128.54984769999999"/>
    <x v="125"/>
    <x v="131"/>
    <s v="Decreasing"/>
  </r>
  <r>
    <x v="132"/>
    <x v="3"/>
    <x v="2"/>
    <n v="127"/>
    <n v="127.290001"/>
    <n v="125.910004"/>
    <n v="126.300003"/>
    <n v="25524600"/>
    <n v="121.43419900000001"/>
    <n v="123.487134"/>
    <n v="126.0235002"/>
    <n v="128.5598665"/>
    <x v="126"/>
    <x v="132"/>
    <s v="Decreasing"/>
  </r>
  <r>
    <x v="133"/>
    <x v="3"/>
    <x v="2"/>
    <n v="126.410004"/>
    <n v="127.129997"/>
    <n v="126.010002"/>
    <n v="126.779999"/>
    <n v="28970400"/>
    <n v="121.895703"/>
    <n v="123.4871301"/>
    <n v="126.0220001"/>
    <n v="128.55687019999999"/>
    <x v="127"/>
    <x v="133"/>
    <s v="Increasing"/>
  </r>
  <r>
    <x v="134"/>
    <x v="3"/>
    <x v="2"/>
    <n v="126.279999"/>
    <n v="127.099998"/>
    <n v="126.110001"/>
    <n v="126.16999800000001"/>
    <n v="28369000"/>
    <n v="121.309203"/>
    <n v="123.5664037"/>
    <n v="125.94499999999999"/>
    <n v="128.3235962"/>
    <x v="128"/>
    <x v="134"/>
    <s v="Decreasing"/>
  </r>
  <r>
    <x v="135"/>
    <x v="3"/>
    <x v="2"/>
    <n v="125.550003"/>
    <n v="126.139999"/>
    <n v="124.459999"/>
    <n v="124.75"/>
    <n v="51957000"/>
    <n v="119.943911"/>
    <n v="123.60226919999999"/>
    <n v="125.7983332"/>
    <n v="127.9943973"/>
    <x v="129"/>
    <x v="135"/>
    <s v="Decreasing"/>
  </r>
  <r>
    <x v="136"/>
    <x v="3"/>
    <x v="2"/>
    <n v="125.57"/>
    <n v="128.11999499999999"/>
    <n v="125.16999800000001"/>
    <n v="127.599998"/>
    <n v="47054300"/>
    <n v="122.684112"/>
    <n v="123.5867451"/>
    <n v="125.8221664"/>
    <n v="128.0575877"/>
    <x v="130"/>
    <x v="136"/>
    <s v="Increasing"/>
  </r>
  <r>
    <x v="137"/>
    <x v="3"/>
    <x v="2"/>
    <n v="128.10000600000001"/>
    <n v="128.199997"/>
    <n v="126.66999800000001"/>
    <n v="126.910004"/>
    <n v="32435100"/>
    <n v="122.02069899999999"/>
    <n v="123.5817266"/>
    <n v="125.8254998"/>
    <n v="128.06927300000001"/>
    <x v="131"/>
    <x v="137"/>
    <s v="Decreasing"/>
  </r>
  <r>
    <x v="138"/>
    <x v="3"/>
    <x v="2"/>
    <n v="126.989998"/>
    <n v="128.86999499999999"/>
    <n v="126.32"/>
    <n v="128.61999499999999"/>
    <n v="37654500"/>
    <n v="123.664812"/>
    <n v="123.5019782"/>
    <n v="125.8674998"/>
    <n v="128.23302140000001"/>
    <x v="132"/>
    <x v="138"/>
    <s v="Increasing"/>
  </r>
  <r>
    <x v="139"/>
    <x v="3"/>
    <x v="2"/>
    <n v="128.300003"/>
    <n v="130.41999799999999"/>
    <n v="128.13999899999999"/>
    <n v="129.66999799999999"/>
    <n v="45770900"/>
    <n v="124.674363"/>
    <n v="123.3716821"/>
    <n v="126.1116665"/>
    <n v="128.85165079999999"/>
    <x v="133"/>
    <x v="139"/>
    <s v="Increasing"/>
  </r>
  <r>
    <x v="140"/>
    <x v="3"/>
    <x v="2"/>
    <n v="130.490005"/>
    <n v="130.63000500000001"/>
    <n v="129.229996"/>
    <n v="130.279999"/>
    <n v="44525900"/>
    <n v="125.260863"/>
    <n v="123.3764705"/>
    <n v="126.41866659999999"/>
    <n v="129.46086260000001"/>
    <x v="134"/>
    <x v="140"/>
    <s v="Decreasing"/>
  </r>
  <r>
    <x v="141"/>
    <x v="3"/>
    <x v="2"/>
    <n v="132.30999800000001"/>
    <n v="133.13000500000001"/>
    <n v="131.14999399999999"/>
    <n v="132.64999399999999"/>
    <n v="96954200"/>
    <n v="127.539552"/>
    <n v="123.128271"/>
    <n v="126.85316640000001"/>
    <n v="130.57806189999999"/>
    <x v="135"/>
    <x v="141"/>
    <s v="Increasing"/>
  </r>
  <r>
    <x v="142"/>
    <x v="3"/>
    <x v="2"/>
    <n v="134.46000699999999"/>
    <n v="134.53999300000001"/>
    <n v="129.570007"/>
    <n v="130.55999800000001"/>
    <n v="118924000"/>
    <n v="125.530074"/>
    <n v="122.9533691"/>
    <n v="127.1514997"/>
    <n v="131.34963020000001"/>
    <x v="136"/>
    <x v="142"/>
    <s v="Decreasing"/>
  </r>
  <r>
    <x v="143"/>
    <x v="3"/>
    <x v="2"/>
    <n v="130.16000399999999"/>
    <n v="131.58999600000001"/>
    <n v="128.300003"/>
    <n v="128.63999899999999"/>
    <n v="63386100"/>
    <n v="123.684046"/>
    <n v="123.165847"/>
    <n v="127.372333"/>
    <n v="131.57881900000001"/>
    <x v="137"/>
    <x v="143"/>
    <s v="Decreasing"/>
  </r>
  <r>
    <x v="144"/>
    <x v="3"/>
    <x v="2"/>
    <n v="128.63999899999999"/>
    <n v="128.63999899999999"/>
    <n v="124.58000199999999"/>
    <n v="125.150002"/>
    <n v="83195400"/>
    <n v="120.328503"/>
    <n v="123.4832179"/>
    <n v="127.4706663"/>
    <n v="131.45811470000001"/>
    <x v="138"/>
    <x v="144"/>
    <s v="Decreasing"/>
  </r>
  <r>
    <x v="145"/>
    <x v="3"/>
    <x v="0"/>
    <n v="108.779999"/>
    <n v="110"/>
    <n v="108.199997"/>
    <n v="109.989998"/>
    <n v="25874000"/>
    <n v="107.712919"/>
    <n v="99.556372280000005"/>
    <n v="104.95399999999999"/>
    <n v="110.35162769999999"/>
    <x v="139"/>
    <x v="145"/>
    <s v="Increasing"/>
  </r>
  <r>
    <x v="146"/>
    <x v="3"/>
    <x v="0"/>
    <n v="110.41999800000001"/>
    <n v="112.19000200000001"/>
    <n v="110.269997"/>
    <n v="111.120003"/>
    <n v="37356200"/>
    <n v="108.81953"/>
    <n v="99.445758350000006"/>
    <n v="105.3781666"/>
    <n v="111.31057490000001"/>
    <x v="140"/>
    <x v="146"/>
    <s v="Increasing"/>
  </r>
  <r>
    <x v="147"/>
    <x v="3"/>
    <x v="0"/>
    <n v="109.510002"/>
    <n v="110.730003"/>
    <n v="109.41999800000001"/>
    <n v="109.80999799999999"/>
    <n v="26578700"/>
    <n v="107.53664499999999"/>
    <n v="99.754326710000001"/>
    <n v="105.78316649999999"/>
    <n v="111.81200629999999"/>
    <x v="141"/>
    <x v="147"/>
    <s v="Increasing"/>
  </r>
  <r>
    <x v="148"/>
    <x v="3"/>
    <x v="0"/>
    <n v="110.230003"/>
    <n v="110.980003"/>
    <n v="109.199997"/>
    <n v="110.959999"/>
    <n v="26404100"/>
    <n v="108.66283900000001"/>
    <n v="100.31185240000001"/>
    <n v="106.24899980000001"/>
    <n v="112.1861471"/>
    <x v="142"/>
    <x v="148"/>
    <s v="Increasing"/>
  </r>
  <r>
    <x v="149"/>
    <x v="3"/>
    <x v="0"/>
    <n v="109.949997"/>
    <n v="110.41999800000001"/>
    <n v="108.120003"/>
    <n v="108.540001"/>
    <n v="31801900"/>
    <n v="106.292941"/>
    <n v="101.1177046"/>
    <n v="106.6508331"/>
    <n v="112.1839617"/>
    <x v="143"/>
    <x v="149"/>
    <s v="Decreasing"/>
  </r>
  <r>
    <x v="150"/>
    <x v="3"/>
    <x v="0"/>
    <n v="108.910004"/>
    <n v="109.769997"/>
    <n v="108.16999800000001"/>
    <n v="108.660004"/>
    <n v="23581700"/>
    <n v="106.410459"/>
    <n v="102.0312098"/>
    <n v="107.0348331"/>
    <n v="112.0384565"/>
    <x v="122"/>
    <x v="150"/>
    <s v="Decreasing"/>
  </r>
  <r>
    <x v="151"/>
    <x v="3"/>
    <x v="0"/>
    <n v="108.970001"/>
    <n v="110.610001"/>
    <n v="108.83000199999999"/>
    <n v="109.019997"/>
    <n v="29407500"/>
    <n v="106.76299899999999"/>
    <n v="102.86570930000001"/>
    <n v="107.4084998"/>
    <n v="111.9512903"/>
    <x v="144"/>
    <x v="151"/>
    <s v="Increasing"/>
  </r>
  <r>
    <x v="152"/>
    <x v="3"/>
    <x v="0"/>
    <n v="109.339996"/>
    <n v="110.5"/>
    <n v="108.660004"/>
    <n v="110.44000200000001"/>
    <n v="27232300"/>
    <n v="108.15360699999999"/>
    <n v="103.74705229999999"/>
    <n v="107.78166659999999"/>
    <n v="111.8162808"/>
    <x v="145"/>
    <x v="152"/>
    <s v="Increasing"/>
  </r>
  <r>
    <x v="153"/>
    <x v="3"/>
    <x v="0"/>
    <n v="110.800003"/>
    <n v="112.339996"/>
    <n v="110.800003"/>
    <n v="112.040001"/>
    <n v="33257300"/>
    <n v="109.720482"/>
    <n v="104.046322"/>
    <n v="108.14116660000001"/>
    <n v="112.2360111"/>
    <x v="146"/>
    <x v="153"/>
    <s v="Increasing"/>
  </r>
  <r>
    <x v="154"/>
    <x v="3"/>
    <x v="0"/>
    <n v="111.620003"/>
    <n v="112.389999"/>
    <n v="111.33000199999999"/>
    <n v="112.099998"/>
    <n v="25473900"/>
    <n v="109.77923699999999"/>
    <n v="104.21588250000001"/>
    <n v="108.45699999999999"/>
    <n v="112.6981174"/>
    <x v="147"/>
    <x v="154"/>
    <s v="Increasing"/>
  </r>
  <r>
    <x v="155"/>
    <x v="3"/>
    <x v="0"/>
    <n v="112.110001"/>
    <n v="112.300003"/>
    <n v="109.730003"/>
    <n v="109.849998"/>
    <n v="46939000"/>
    <n v="107.575818"/>
    <n v="104.5517928"/>
    <n v="108.70116659999999"/>
    <n v="112.85054049999999"/>
    <x v="148"/>
    <x v="155"/>
    <s v="Decreasing"/>
  </r>
  <r>
    <x v="156"/>
    <x v="3"/>
    <x v="0"/>
    <n v="108.889999"/>
    <n v="108.949997"/>
    <n v="106.94000200000001"/>
    <n v="107.480003"/>
    <n v="60834000"/>
    <n v="105.25488799999999"/>
    <n v="104.8293735"/>
    <n v="108.79716670000001"/>
    <n v="112.76495989999999"/>
    <x v="149"/>
    <x v="156"/>
    <s v="Decreasing"/>
  </r>
  <r>
    <x v="157"/>
    <x v="3"/>
    <x v="0"/>
    <n v="107.879997"/>
    <n v="108"/>
    <n v="106.230003"/>
    <n v="106.910004"/>
    <n v="32384900"/>
    <n v="104.69668900000001"/>
    <n v="104.9603381"/>
    <n v="108.83783339999999"/>
    <n v="112.7153287"/>
    <x v="150"/>
    <x v="157"/>
    <s v="Decreasing"/>
  </r>
  <r>
    <x v="158"/>
    <x v="3"/>
    <x v="0"/>
    <n v="106.639999"/>
    <n v="108.089996"/>
    <n v="106.05999799999999"/>
    <n v="107.129997"/>
    <n v="30611000"/>
    <n v="104.912128"/>
    <n v="105.0699568"/>
    <n v="108.87216650000001"/>
    <n v="112.67437630000001"/>
    <x v="151"/>
    <x v="158"/>
    <s v="Increasing"/>
  </r>
  <r>
    <x v="159"/>
    <x v="3"/>
    <x v="0"/>
    <n v="106.93"/>
    <n v="106.93"/>
    <n v="105.519997"/>
    <n v="105.970001"/>
    <n v="31552500"/>
    <n v="103.77614699999999"/>
    <n v="105.02759349999999"/>
    <n v="108.8608332"/>
    <n v="112.6940728"/>
    <x v="152"/>
    <x v="159"/>
    <s v="Decreasing"/>
  </r>
  <r>
    <x v="160"/>
    <x v="3"/>
    <x v="0"/>
    <n v="105.010002"/>
    <n v="106.480003"/>
    <n v="104.620003"/>
    <n v="105.68"/>
    <n v="33683100"/>
    <n v="103.492149"/>
    <n v="105.0253925"/>
    <n v="108.86033329999999"/>
    <n v="112.6952742"/>
    <x v="153"/>
    <x v="160"/>
    <s v="Increasing"/>
  </r>
  <r>
    <x v="161"/>
    <x v="3"/>
    <x v="0"/>
    <n v="105"/>
    <n v="105.650002"/>
    <n v="104.510002"/>
    <n v="105.08000199999999"/>
    <n v="28031600"/>
    <n v="102.904573"/>
    <n v="104.9316223"/>
    <n v="108.84033340000001"/>
    <n v="112.7490445"/>
    <x v="32"/>
    <x v="161"/>
    <s v="Increasing"/>
  </r>
  <r>
    <x v="162"/>
    <x v="3"/>
    <x v="0"/>
    <n v="103.910004"/>
    <n v="105.300003"/>
    <n v="103.910004"/>
    <n v="104.349998"/>
    <n v="56016200"/>
    <n v="102.189682"/>
    <n v="104.4711595"/>
    <n v="108.7271669"/>
    <n v="112.98317419999999"/>
    <x v="154"/>
    <x v="162"/>
    <s v="Increasing"/>
  </r>
  <r>
    <x v="163"/>
    <x v="3"/>
    <x v="0"/>
    <n v="96"/>
    <n v="98.709998999999996"/>
    <n v="95.68"/>
    <n v="97.82"/>
    <n v="114602100"/>
    <n v="95.794871000000001"/>
    <n v="101.6277845"/>
    <n v="108.12100030000001"/>
    <n v="114.614216"/>
    <x v="155"/>
    <x v="163"/>
    <s v="Increasing"/>
  </r>
  <r>
    <x v="164"/>
    <x v="3"/>
    <x v="0"/>
    <n v="97.610000999999997"/>
    <n v="97.879997000000003"/>
    <n v="94.25"/>
    <n v="94.830001999999993"/>
    <n v="82242700"/>
    <n v="92.866774000000007"/>
    <n v="99.00626536"/>
    <n v="107.4408336"/>
    <n v="115.8754019"/>
    <x v="156"/>
    <x v="164"/>
    <s v="Decreasing"/>
  </r>
  <r>
    <x v="165"/>
    <x v="3"/>
    <x v="0"/>
    <n v="93.989998"/>
    <n v="94.720000999999996"/>
    <n v="92.510002"/>
    <n v="93.739998"/>
    <n v="68531500"/>
    <n v="91.799335999999997"/>
    <n v="96.363058190000004"/>
    <n v="106.65383370000001"/>
    <n v="116.9446093"/>
    <x v="122"/>
    <x v="165"/>
    <s v="Decreasing"/>
  </r>
  <r>
    <x v="166"/>
    <x v="4"/>
    <x v="2"/>
    <n v="126.099998"/>
    <n v="130.13000500000001"/>
    <n v="125.300003"/>
    <n v="128.949997"/>
    <n v="58512600"/>
    <n v="123.9821"/>
    <n v="123.7928685"/>
    <n v="127.62583309999999"/>
    <n v="131.45879769999999"/>
    <x v="157"/>
    <x v="166"/>
    <s v="Increasing"/>
  </r>
  <r>
    <x v="167"/>
    <x v="4"/>
    <x v="2"/>
    <n v="129.5"/>
    <n v="130.570007"/>
    <n v="128.259995"/>
    <n v="128.699997"/>
    <n v="50988300"/>
    <n v="123.741732"/>
    <n v="123.9186426"/>
    <n v="127.764833"/>
    <n v="131.61102349999999"/>
    <x v="129"/>
    <x v="167"/>
    <s v="Decreasing"/>
  </r>
  <r>
    <x v="168"/>
    <x v="4"/>
    <x v="2"/>
    <n v="128.14999399999999"/>
    <n v="128.449997"/>
    <n v="125.779999"/>
    <n v="125.800003"/>
    <n v="49271400"/>
    <n v="120.953462"/>
    <n v="123.91582"/>
    <n v="127.7634997"/>
    <n v="131.6111794"/>
    <x v="158"/>
    <x v="168"/>
    <s v="Decreasing"/>
  </r>
  <r>
    <x v="169"/>
    <x v="4"/>
    <x v="2"/>
    <n v="126.55999799999999"/>
    <n v="126.75"/>
    <n v="123.360001"/>
    <n v="125.010002"/>
    <n v="72141000"/>
    <n v="120.19389700000001"/>
    <n v="123.8088193"/>
    <n v="127.7326664"/>
    <n v="131.65651349999999"/>
    <x v="159"/>
    <x v="169"/>
    <s v="Decreasing"/>
  </r>
  <r>
    <x v="170"/>
    <x v="4"/>
    <x v="2"/>
    <n v="124.769997"/>
    <n v="126.08000199999999"/>
    <n v="124.019997"/>
    <n v="125.260002"/>
    <n v="43940900"/>
    <n v="120.93733"/>
    <n v="123.6785663"/>
    <n v="127.6919997"/>
    <n v="131.705433"/>
    <x v="160"/>
    <x v="170"/>
    <s v="Increasing"/>
  </r>
  <r>
    <x v="171"/>
    <x v="4"/>
    <x v="2"/>
    <n v="126.68"/>
    <n v="127.620003"/>
    <n v="126.110001"/>
    <n v="127.620003"/>
    <n v="55550400"/>
    <n v="123.21588800000001"/>
    <n v="123.7345408"/>
    <n v="127.7216665"/>
    <n v="131.7087922"/>
    <x v="161"/>
    <x v="171"/>
    <s v="Increasing"/>
  </r>
  <r>
    <x v="172"/>
    <x v="4"/>
    <x v="2"/>
    <n v="127.389999"/>
    <n v="127.55999799999999"/>
    <n v="125.629997"/>
    <n v="126.32"/>
    <n v="42035800"/>
    <n v="121.960747"/>
    <n v="123.6599205"/>
    <n v="127.67966629999999"/>
    <n v="131.69941209999999"/>
    <x v="162"/>
    <x v="172"/>
    <s v="Decreasing"/>
  </r>
  <r>
    <x v="173"/>
    <x v="4"/>
    <x v="2"/>
    <n v="125.599998"/>
    <n v="126.879997"/>
    <n v="124.82"/>
    <n v="125.870003"/>
    <n v="48160000"/>
    <n v="121.526279"/>
    <n v="123.5804905"/>
    <n v="127.6474995"/>
    <n v="131.7145084"/>
    <x v="163"/>
    <x v="173"/>
    <s v="Increasing"/>
  </r>
  <r>
    <x v="174"/>
    <x v="4"/>
    <x v="2"/>
    <n v="126.150002"/>
    <n v="127.19000200000001"/>
    <n v="125.870003"/>
    <n v="126.010002"/>
    <n v="34694200"/>
    <n v="121.661447"/>
    <n v="123.5504423"/>
    <n v="127.63333299999999"/>
    <n v="131.71622360000001"/>
    <x v="164"/>
    <x v="174"/>
    <s v="Decreasing"/>
  </r>
  <r>
    <x v="175"/>
    <x v="4"/>
    <x v="2"/>
    <n v="127.410004"/>
    <n v="128.949997"/>
    <n v="127.160004"/>
    <n v="128.949997"/>
    <n v="45203500"/>
    <n v="124.499984"/>
    <n v="123.67060069999999"/>
    <n v="127.7279997"/>
    <n v="131.78539860000001"/>
    <x v="165"/>
    <x v="175"/>
    <s v="Increasing"/>
  </r>
  <r>
    <x v="176"/>
    <x v="4"/>
    <x v="2"/>
    <n v="129.070007"/>
    <n v="129.490005"/>
    <n v="128.21000699999999"/>
    <n v="128.770004"/>
    <n v="38208000"/>
    <n v="124.32620300000001"/>
    <n v="124.0144574"/>
    <n v="127.91333330000001"/>
    <n v="131.81220920000001"/>
    <x v="166"/>
    <x v="176"/>
    <s v="Decreasing"/>
  </r>
  <r>
    <x v="177"/>
    <x v="4"/>
    <x v="2"/>
    <n v="128.38000500000001"/>
    <n v="130.720001"/>
    <n v="128.36000100000001"/>
    <n v="130.19000199999999"/>
    <n v="50882900"/>
    <n v="125.697198"/>
    <n v="124.100497"/>
    <n v="128.05300020000001"/>
    <n v="132.00550329999999"/>
    <x v="167"/>
    <x v="177"/>
    <s v="Increasing"/>
  </r>
  <r>
    <x v="178"/>
    <x v="4"/>
    <x v="2"/>
    <n v="130.69000199999999"/>
    <n v="130.88000500000001"/>
    <n v="129.63999899999999"/>
    <n v="130.070007"/>
    <n v="44633200"/>
    <n v="125.581344"/>
    <n v="124.15887650000001"/>
    <n v="128.1998337"/>
    <n v="132.24079090000001"/>
    <x v="168"/>
    <x v="178"/>
    <s v="Decreasing"/>
  </r>
  <r>
    <x v="179"/>
    <x v="4"/>
    <x v="2"/>
    <n v="130"/>
    <n v="130.979996"/>
    <n v="129.33999600000001"/>
    <n v="130.05999800000001"/>
    <n v="36454900"/>
    <n v="125.571679"/>
    <n v="124.1850087"/>
    <n v="128.3093337"/>
    <n v="132.4336587"/>
    <x v="169"/>
    <x v="179"/>
    <s v="Increasing"/>
  </r>
  <r>
    <x v="180"/>
    <x v="4"/>
    <x v="2"/>
    <n v="130.070007"/>
    <n v="131.63000500000001"/>
    <n v="129.83000200000001"/>
    <n v="131.38999899999999"/>
    <n v="39730400"/>
    <n v="126.855783"/>
    <n v="124.12738160000001"/>
    <n v="128.38633390000001"/>
    <n v="132.64528609999999"/>
    <x v="170"/>
    <x v="180"/>
    <s v="Increasing"/>
  </r>
  <r>
    <x v="181"/>
    <x v="4"/>
    <x v="2"/>
    <n v="131.60000600000001"/>
    <n v="132.970001"/>
    <n v="131.39999399999999"/>
    <n v="132.53999300000001"/>
    <n v="45596000"/>
    <n v="127.96609100000001"/>
    <n v="123.9598963"/>
    <n v="128.499167"/>
    <n v="133.0384377"/>
    <x v="171"/>
    <x v="181"/>
    <s v="Increasing"/>
  </r>
  <r>
    <x v="182"/>
    <x v="4"/>
    <x v="2"/>
    <n v="132.60000600000001"/>
    <n v="132.91000399999999"/>
    <n v="129.11999499999999"/>
    <n v="129.61999499999999"/>
    <n v="70697600"/>
    <n v="125.146861"/>
    <n v="124.10876089999999"/>
    <n v="128.41116700000001"/>
    <n v="132.71357309999999"/>
    <x v="172"/>
    <x v="182"/>
    <s v="Decreasing"/>
  </r>
  <r>
    <x v="183"/>
    <x v="4"/>
    <x v="2"/>
    <n v="130.33999600000001"/>
    <n v="132.259995"/>
    <n v="130.050003"/>
    <n v="132.03999300000001"/>
    <n v="45833200"/>
    <n v="127.483346"/>
    <n v="124.1188009"/>
    <n v="128.40583359999999"/>
    <n v="132.69286629999999"/>
    <x v="173"/>
    <x v="183"/>
    <s v="Increasing"/>
  </r>
  <r>
    <x v="184"/>
    <x v="4"/>
    <x v="2"/>
    <n v="131.86000100000001"/>
    <n v="131.949997"/>
    <n v="131.10000600000001"/>
    <n v="131.779999"/>
    <n v="30733300"/>
    <n v="127.23232400000001"/>
    <n v="124.0226213"/>
    <n v="128.51083370000001"/>
    <n v="132.99904599999999"/>
    <x v="174"/>
    <x v="184"/>
    <s v="Decreasing"/>
  </r>
  <r>
    <x v="185"/>
    <x v="4"/>
    <x v="2"/>
    <n v="131.229996"/>
    <n v="131.449997"/>
    <n v="129.89999399999999"/>
    <n v="130.279999"/>
    <n v="50884500"/>
    <n v="125.784088"/>
    <n v="124.300709"/>
    <n v="128.7318334"/>
    <n v="133.16295790000001"/>
    <x v="175"/>
    <x v="185"/>
    <s v="Decreasing"/>
  </r>
  <r>
    <x v="186"/>
    <x v="4"/>
    <x v="0"/>
    <n v="93.970000999999996"/>
    <n v="94.080001999999993"/>
    <n v="92.400002000000001"/>
    <n v="93.639999000000003"/>
    <n v="48160100"/>
    <n v="91.701408000000001"/>
    <n v="94.192291080000004"/>
    <n v="105.7628338"/>
    <n v="117.33337640000001"/>
    <x v="176"/>
    <x v="186"/>
    <s v="Decreasing"/>
  </r>
  <r>
    <x v="187"/>
    <x v="4"/>
    <x v="0"/>
    <n v="94.199996999999996"/>
    <n v="95.739998"/>
    <n v="93.68"/>
    <n v="95.18"/>
    <n v="56831300"/>
    <n v="93.209526999999994"/>
    <n v="92.687399670000005"/>
    <n v="105.0068337"/>
    <n v="117.3262678"/>
    <x v="177"/>
    <x v="187"/>
    <s v="Increasing"/>
  </r>
  <r>
    <x v="188"/>
    <x v="4"/>
    <x v="0"/>
    <n v="95.199996999999996"/>
    <n v="95.900002000000001"/>
    <n v="93.82"/>
    <n v="94.190002000000007"/>
    <n v="41025500"/>
    <n v="92.240024000000005"/>
    <n v="91.373507579999995"/>
    <n v="104.2196672"/>
    <n v="117.0658267"/>
    <x v="178"/>
    <x v="188"/>
    <s v="Decreasing"/>
  </r>
  <r>
    <x v="189"/>
    <x v="4"/>
    <x v="0"/>
    <n v="94"/>
    <n v="94.07"/>
    <n v="92.68"/>
    <n v="93.239998"/>
    <n v="35890500"/>
    <n v="91.865624999999994"/>
    <n v="89.956870820000006"/>
    <n v="103.43483380000001"/>
    <n v="116.9127967"/>
    <x v="179"/>
    <x v="189"/>
    <s v="Decreasing"/>
  </r>
  <r>
    <x v="190"/>
    <x v="4"/>
    <x v="0"/>
    <n v="93.370002999999997"/>
    <n v="93.449996999999996"/>
    <n v="91.849997999999999"/>
    <n v="92.720000999999996"/>
    <n v="43458200"/>
    <n v="91.353292999999994"/>
    <n v="88.614661440000006"/>
    <n v="102.625167"/>
    <n v="116.63567260000001"/>
    <x v="180"/>
    <x v="190"/>
    <s v="Decreasing"/>
  </r>
  <r>
    <x v="191"/>
    <x v="4"/>
    <x v="0"/>
    <n v="93"/>
    <n v="93.769997000000004"/>
    <n v="92.589995999999999"/>
    <n v="92.790001000000004"/>
    <n v="32936400"/>
    <n v="91.422261000000006"/>
    <n v="87.572614599999994"/>
    <n v="101.8033336"/>
    <n v="116.0340526"/>
    <x v="181"/>
    <x v="191"/>
    <s v="Decreasing"/>
  </r>
  <r>
    <x v="192"/>
    <x v="4"/>
    <x v="0"/>
    <n v="93.330001999999993"/>
    <n v="93.57"/>
    <n v="92.110000999999997"/>
    <n v="93.419998000000007"/>
    <n v="33686800"/>
    <n v="92.042972000000006"/>
    <n v="86.746925919999995"/>
    <n v="100.9616668"/>
    <n v="115.1764077"/>
    <x v="182"/>
    <x v="192"/>
    <s v="Increasing"/>
  </r>
  <r>
    <x v="193"/>
    <x v="4"/>
    <x v="0"/>
    <n v="93.480002999999996"/>
    <n v="93.57"/>
    <n v="92.459998999999996"/>
    <n v="92.510002"/>
    <n v="28719100"/>
    <n v="91.146388999999999"/>
    <n v="86.288576730000003"/>
    <n v="100.0176668"/>
    <n v="113.74675689999999"/>
    <x v="183"/>
    <x v="193"/>
    <s v="Decreasing"/>
  </r>
  <r>
    <x v="194"/>
    <x v="4"/>
    <x v="0"/>
    <n v="92.720000999999996"/>
    <n v="92.779999000000004"/>
    <n v="89.470000999999996"/>
    <n v="90.339995999999999"/>
    <n v="76314700"/>
    <n v="89.008369999999999"/>
    <n v="85.834567629999995"/>
    <n v="98.963833449999996"/>
    <n v="112.09309930000001"/>
    <x v="184"/>
    <x v="194"/>
    <s v="Decreasing"/>
  </r>
  <r>
    <x v="195"/>
    <x v="4"/>
    <x v="0"/>
    <n v="90"/>
    <n v="91.669998000000007"/>
    <n v="90"/>
    <n v="90.519997000000004"/>
    <n v="44392800"/>
    <n v="89.185716999999997"/>
    <n v="85.528191609999993"/>
    <n v="97.968999969999999"/>
    <n v="110.40980829999999"/>
    <x v="185"/>
    <x v="195"/>
    <s v="Increasing"/>
  </r>
  <r>
    <x v="196"/>
    <x v="4"/>
    <x v="0"/>
    <n v="92.389999000000003"/>
    <n v="94.389999000000003"/>
    <n v="91.650002000000001"/>
    <n v="93.879997000000003"/>
    <n v="61259800"/>
    <n v="92.496189999999999"/>
    <n v="85.508858480000001"/>
    <n v="97.244833229999998"/>
    <n v="108.980808"/>
    <x v="186"/>
    <x v="196"/>
    <s v="Increasing"/>
  </r>
  <r>
    <x v="197"/>
    <x v="4"/>
    <x v="0"/>
    <n v="94.550003000000004"/>
    <n v="94.699996999999996"/>
    <n v="93.010002"/>
    <n v="93.489998"/>
    <n v="46916900"/>
    <n v="92.111939000000007"/>
    <n v="85.660760609999997"/>
    <n v="96.579166400000005"/>
    <n v="107.49757219999999"/>
    <x v="187"/>
    <x v="197"/>
    <s v="Decreasing"/>
  </r>
  <r>
    <x v="198"/>
    <x v="4"/>
    <x v="0"/>
    <n v="94.160004000000001"/>
    <n v="95.209998999999996"/>
    <n v="93.889999000000003"/>
    <n v="94.559997999999993"/>
    <n v="42062400"/>
    <n v="93.166167000000002"/>
    <n v="86.136345489999997"/>
    <n v="95.952166480000002"/>
    <n v="105.7679875"/>
    <x v="188"/>
    <x v="198"/>
    <s v="Increasing"/>
  </r>
  <r>
    <x v="199"/>
    <x v="4"/>
    <x v="0"/>
    <n v="94.639999000000003"/>
    <n v="94.639999000000003"/>
    <n v="93.57"/>
    <n v="94.199996999999996"/>
    <n v="30442100"/>
    <n v="92.811473000000007"/>
    <n v="86.702701390000001"/>
    <n v="95.35199978"/>
    <n v="104.00129819999999"/>
    <x v="189"/>
    <x v="199"/>
    <s v="Decreasing"/>
  </r>
  <r>
    <x v="200"/>
    <x v="4"/>
    <x v="0"/>
    <n v="94.639999000000003"/>
    <n v="95.43"/>
    <n v="94.519997000000004"/>
    <n v="95.220000999999996"/>
    <n v="32026000"/>
    <n v="93.816441999999995"/>
    <n v="87.562893779999996"/>
    <n v="94.825166319999994"/>
    <n v="102.0874388"/>
    <x v="190"/>
    <x v="200"/>
    <s v="Increasing"/>
  </r>
  <r>
    <x v="201"/>
    <x v="4"/>
    <x v="0"/>
    <n v="95.870002999999997"/>
    <n v="97.190002000000007"/>
    <n v="95.669998000000007"/>
    <n v="96.43"/>
    <n v="38018600"/>
    <n v="95.008606"/>
    <n v="88.7823949"/>
    <n v="94.392666219999995"/>
    <n v="100.0029375"/>
    <x v="191"/>
    <x v="201"/>
    <s v="Increasing"/>
  </r>
  <r>
    <x v="202"/>
    <x v="4"/>
    <x v="0"/>
    <n v="97.220000999999996"/>
    <n v="98.089995999999999"/>
    <n v="96.839995999999999"/>
    <n v="97.900002000000001"/>
    <n v="35140200"/>
    <n v="96.456939000000006"/>
    <n v="90.503816939999993"/>
    <n v="94.04716603"/>
    <n v="97.59051513"/>
    <x v="192"/>
    <x v="202"/>
    <s v="Increasing"/>
  </r>
  <r>
    <x v="203"/>
    <x v="4"/>
    <x v="0"/>
    <n v="98.669998000000007"/>
    <n v="99.739998"/>
    <n v="98.110000999999997"/>
    <n v="99.620002999999997"/>
    <n v="38168800"/>
    <n v="98.151587000000006"/>
    <n v="90.198691190000005"/>
    <n v="94.134832750000001"/>
    <n v="98.070974309999997"/>
    <x v="193"/>
    <x v="203"/>
    <s v="Increasing"/>
  </r>
  <r>
    <x v="204"/>
    <x v="4"/>
    <x v="0"/>
    <n v="99.68"/>
    <n v="100.730003"/>
    <n v="98.639999000000003"/>
    <n v="100.410004"/>
    <n v="56331200"/>
    <n v="98.929942999999994"/>
    <n v="89.705386300000001"/>
    <n v="94.348499529999998"/>
    <n v="98.991612759999995"/>
    <x v="194"/>
    <x v="204"/>
    <s v="Increasing"/>
  </r>
  <r>
    <x v="205"/>
    <x v="4"/>
    <x v="0"/>
    <n v="99.440002000000007"/>
    <n v="100.470001"/>
    <n v="99.25"/>
    <n v="100.349998"/>
    <n v="36229500"/>
    <n v="98.870823000000001"/>
    <n v="89.42296245"/>
    <n v="94.666832830000004"/>
    <n v="99.910703220000002"/>
    <x v="117"/>
    <x v="205"/>
    <s v="Increasing"/>
  </r>
  <r>
    <x v="206"/>
    <x v="4"/>
    <x v="0"/>
    <n v="99.599997999999999"/>
    <n v="100.400002"/>
    <n v="98.82"/>
    <n v="99.860000999999997"/>
    <n v="42307200"/>
    <n v="98.388047"/>
    <n v="89.342153049999993"/>
    <n v="94.982832830000007"/>
    <n v="100.6235126"/>
    <x v="195"/>
    <x v="206"/>
    <s v="Increasing"/>
  </r>
  <r>
    <x v="207"/>
    <x v="5"/>
    <x v="2"/>
    <n v="130.279999"/>
    <n v="131.38999899999999"/>
    <n v="130.050003"/>
    <n v="130.53999300000001"/>
    <n v="32112800"/>
    <n v="126.03511"/>
    <n v="124.3594994"/>
    <n v="128.8584999"/>
    <n v="133.35750039999999"/>
    <x v="196"/>
    <x v="207"/>
    <s v="Increasing"/>
  </r>
  <r>
    <x v="208"/>
    <x v="5"/>
    <x v="2"/>
    <n v="129.86000100000001"/>
    <n v="130.66000399999999"/>
    <n v="129.320007"/>
    <n v="129.96000699999999"/>
    <n v="33667600"/>
    <n v="125.475139"/>
    <n v="124.37474589999999"/>
    <n v="128.89866689999999"/>
    <n v="133.4225879"/>
    <x v="197"/>
    <x v="208"/>
    <s v="Increasing"/>
  </r>
  <r>
    <x v="209"/>
    <x v="5"/>
    <x v="2"/>
    <n v="130.66000399999999"/>
    <n v="130.94000199999999"/>
    <n v="129.89999399999999"/>
    <n v="130.11999499999999"/>
    <n v="30889400"/>
    <n v="125.629606"/>
    <n v="124.6367699"/>
    <n v="129.08083350000001"/>
    <n v="133.52489700000001"/>
    <x v="198"/>
    <x v="209"/>
    <s v="Decreasing"/>
  </r>
  <r>
    <x v="210"/>
    <x v="5"/>
    <x v="2"/>
    <n v="129.58000200000001"/>
    <n v="130.58000200000001"/>
    <n v="128.91000399999999"/>
    <n v="129.36000100000001"/>
    <n v="38450100"/>
    <n v="124.895839"/>
    <n v="125.26837980000001"/>
    <n v="129.3096669"/>
    <n v="133.35095390000001"/>
    <x v="199"/>
    <x v="210"/>
    <s v="Decreasing"/>
  </r>
  <r>
    <x v="211"/>
    <x v="5"/>
    <x v="2"/>
    <n v="129.5"/>
    <n v="129.69000199999999"/>
    <n v="128.36000100000001"/>
    <n v="128.64999399999999"/>
    <n v="35626800"/>
    <n v="124.210334"/>
    <n v="125.9332746"/>
    <n v="129.4986668"/>
    <n v="133.06405899999999"/>
    <x v="200"/>
    <x v="211"/>
    <s v="Decreasing"/>
  </r>
  <r>
    <x v="212"/>
    <x v="5"/>
    <x v="2"/>
    <n v="128.89999399999999"/>
    <n v="129.21000699999999"/>
    <n v="126.83000199999999"/>
    <n v="127.800003"/>
    <n v="52674800"/>
    <n v="123.38967599999999"/>
    <n v="126.0685551"/>
    <n v="129.5401669"/>
    <n v="133.01177860000001"/>
    <x v="201"/>
    <x v="212"/>
    <s v="Decreasing"/>
  </r>
  <r>
    <x v="213"/>
    <x v="5"/>
    <x v="2"/>
    <n v="126.699997"/>
    <n v="128.08000200000001"/>
    <n v="125.620003"/>
    <n v="127.41999800000001"/>
    <n v="56075400"/>
    <n v="123.022785"/>
    <n v="126.1824915"/>
    <n v="129.56700029999999"/>
    <n v="132.9515092"/>
    <x v="202"/>
    <x v="213"/>
    <s v="Increasing"/>
  </r>
  <r>
    <x v="214"/>
    <x v="5"/>
    <x v="2"/>
    <n v="127.91999800000001"/>
    <n v="129.33999600000001"/>
    <n v="127.849998"/>
    <n v="128.88000500000001"/>
    <n v="39087300"/>
    <n v="124.432408"/>
    <n v="126.74638179999999"/>
    <n v="129.70866699999999"/>
    <n v="132.67095209999999"/>
    <x v="203"/>
    <x v="214"/>
    <s v="Increasing"/>
  </r>
  <r>
    <x v="215"/>
    <x v="5"/>
    <x v="2"/>
    <n v="129.179993"/>
    <n v="130.179993"/>
    <n v="128.479996"/>
    <n v="128.58999600000001"/>
    <n v="35390900"/>
    <n v="124.152407"/>
    <n v="127.2892578"/>
    <n v="129.845"/>
    <n v="132.4007421"/>
    <x v="204"/>
    <x v="215"/>
    <s v="Decreasing"/>
  </r>
  <r>
    <x v="216"/>
    <x v="5"/>
    <x v="2"/>
    <n v="128.19000199999999"/>
    <n v="128.33000200000001"/>
    <n v="127.110001"/>
    <n v="127.16999800000001"/>
    <n v="36886200"/>
    <n v="122.781413"/>
    <n v="127.131001"/>
    <n v="129.8041667"/>
    <n v="132.4773323"/>
    <x v="205"/>
    <x v="216"/>
    <s v="Decreasing"/>
  </r>
  <r>
    <x v="217"/>
    <x v="5"/>
    <x v="2"/>
    <n v="126.099998"/>
    <n v="127.239998"/>
    <n v="125.709999"/>
    <n v="126.91999800000001"/>
    <n v="43988900"/>
    <n v="122.54004"/>
    <n v="126.70609810000001"/>
    <n v="129.69416630000001"/>
    <n v="132.68223459999999"/>
    <x v="206"/>
    <x v="217"/>
    <s v="Increasing"/>
  </r>
  <r>
    <x v="218"/>
    <x v="5"/>
    <x v="2"/>
    <n v="127.029999"/>
    <n v="127.849998"/>
    <n v="126.370003"/>
    <n v="127.599998"/>
    <n v="31494100"/>
    <n v="123.196574"/>
    <n v="126.4016896"/>
    <n v="129.56999959999999"/>
    <n v="132.73830950000001"/>
    <x v="207"/>
    <x v="218"/>
    <s v="Increasing"/>
  </r>
  <r>
    <x v="219"/>
    <x v="5"/>
    <x v="2"/>
    <n v="127.720001"/>
    <n v="127.879997"/>
    <n v="126.739998"/>
    <n v="127.300003"/>
    <n v="32918100"/>
    <n v="122.906931"/>
    <n v="126.1238847"/>
    <n v="129.42549940000001"/>
    <n v="132.727114"/>
    <x v="112"/>
    <x v="219"/>
    <s v="Decreasing"/>
  </r>
  <r>
    <x v="220"/>
    <x v="5"/>
    <x v="2"/>
    <n v="127.230003"/>
    <n v="128.30999800000001"/>
    <n v="127.220001"/>
    <n v="127.879997"/>
    <n v="35407200"/>
    <n v="123.46691"/>
    <n v="125.9515598"/>
    <n v="129.30933279999999"/>
    <n v="132.6671058"/>
    <x v="208"/>
    <x v="220"/>
    <s v="Increasing"/>
  </r>
  <r>
    <x v="221"/>
    <x v="5"/>
    <x v="2"/>
    <n v="127.709999"/>
    <n v="127.82"/>
    <n v="126.400002"/>
    <n v="126.599998"/>
    <n v="54716900"/>
    <n v="122.231083"/>
    <n v="125.6885656"/>
    <n v="129.10883269999999"/>
    <n v="132.52909980000001"/>
    <x v="209"/>
    <x v="221"/>
    <s v="Decreasing"/>
  </r>
  <r>
    <x v="222"/>
    <x v="5"/>
    <x v="2"/>
    <n v="127.489998"/>
    <n v="128.05999800000001"/>
    <n v="127.08000199999999"/>
    <n v="127.610001"/>
    <n v="34039300"/>
    <n v="123.206231"/>
    <n v="125.7264205"/>
    <n v="128.87283289999999"/>
    <n v="132.01924529999999"/>
    <x v="210"/>
    <x v="222"/>
    <s v="Increasing"/>
  </r>
  <r>
    <x v="223"/>
    <x v="5"/>
    <x v="2"/>
    <n v="127.480003"/>
    <n v="127.610001"/>
    <n v="126.879997"/>
    <n v="127.029999"/>
    <n v="30268900"/>
    <n v="122.646244"/>
    <n v="125.57334849999999"/>
    <n v="128.7039996"/>
    <n v="131.8346507"/>
    <x v="211"/>
    <x v="223"/>
    <s v="Decreasing"/>
  </r>
  <r>
    <x v="224"/>
    <x v="5"/>
    <x v="2"/>
    <n v="127.209999"/>
    <n v="129.800003"/>
    <n v="127.120003"/>
    <n v="128.11000100000001"/>
    <n v="55280900"/>
    <n v="123.688976"/>
    <n v="125.6811976"/>
    <n v="128.54866659999999"/>
    <n v="131.4161355"/>
    <x v="212"/>
    <x v="224"/>
    <s v="Increasing"/>
  </r>
  <r>
    <x v="225"/>
    <x v="5"/>
    <x v="2"/>
    <n v="128.86000100000001"/>
    <n v="129.199997"/>
    <n v="127.5"/>
    <n v="127.5"/>
    <n v="31938100"/>
    <n v="123.100026"/>
    <n v="125.86771520000001"/>
    <n v="128.37149980000001"/>
    <n v="130.8752844"/>
    <x v="213"/>
    <x v="225"/>
    <s v="Decreasing"/>
  </r>
  <r>
    <x v="226"/>
    <x v="5"/>
    <x v="2"/>
    <n v="127.66999800000001"/>
    <n v="127.989998"/>
    <n v="126.510002"/>
    <n v="126.75"/>
    <n v="44066800"/>
    <n v="122.375908"/>
    <n v="125.8452624"/>
    <n v="128.1985"/>
    <n v="130.5517375"/>
    <x v="214"/>
    <x v="226"/>
    <s v="Decreasing"/>
  </r>
  <r>
    <x v="227"/>
    <x v="5"/>
    <x v="2"/>
    <n v="125.459999"/>
    <n v="126.470001"/>
    <n v="124.480003"/>
    <n v="124.529999"/>
    <n v="49161400"/>
    <n v="120.232518"/>
    <n v="125.50070669999999"/>
    <n v="127.9235001"/>
    <n v="130.3462935"/>
    <x v="215"/>
    <x v="227"/>
    <s v="Decreasing"/>
  </r>
  <r>
    <x v="228"/>
    <x v="5"/>
    <x v="2"/>
    <n v="125.57"/>
    <n v="126.120003"/>
    <n v="124.860001"/>
    <n v="125.43"/>
    <n v="44370700"/>
    <n v="121.101461"/>
    <n v="125.2434909"/>
    <n v="127.6979999"/>
    <n v="130.15250879999999"/>
    <x v="216"/>
    <x v="228"/>
    <s v="Decreasing"/>
  </r>
  <r>
    <x v="229"/>
    <x v="5"/>
    <x v="0"/>
    <n v="99.019997000000004"/>
    <n v="99.540001000000004"/>
    <n v="98.330001999999993"/>
    <n v="98.459998999999996"/>
    <n v="29173300"/>
    <n v="97.008681999999993"/>
    <n v="89.301231200000004"/>
    <n v="95.178332900000001"/>
    <n v="101.0554346"/>
    <x v="217"/>
    <x v="229"/>
    <s v="Decreasing"/>
  </r>
  <r>
    <x v="230"/>
    <x v="5"/>
    <x v="0"/>
    <n v="97.599997999999999"/>
    <n v="97.839995999999999"/>
    <n v="96.629997000000003"/>
    <n v="97.720000999999996"/>
    <n v="40191600"/>
    <n v="96.279591999999994"/>
    <n v="89.367411189999999"/>
    <n v="95.316332729999999"/>
    <n v="101.2652543"/>
    <x v="210"/>
    <x v="230"/>
    <s v="Increasing"/>
  </r>
  <r>
    <x v="231"/>
    <x v="5"/>
    <x v="0"/>
    <n v="97.790001000000004"/>
    <n v="98.269997000000004"/>
    <n v="97.449996999999996"/>
    <n v="97.919998000000007"/>
    <n v="28062900"/>
    <n v="96.476641000000001"/>
    <n v="89.568214350000005"/>
    <n v="95.543832629999997"/>
    <n v="101.5194509"/>
    <x v="218"/>
    <x v="231"/>
    <s v="Increasing"/>
  </r>
  <r>
    <x v="232"/>
    <x v="5"/>
    <x v="0"/>
    <n v="97.989998"/>
    <n v="101.889999"/>
    <n v="97.550003000000004"/>
    <n v="98.629997000000003"/>
    <n v="23292500"/>
    <n v="97.176174000000003"/>
    <n v="89.834744450000002"/>
    <n v="95.877999349999996"/>
    <n v="101.92125420000001"/>
    <x v="102"/>
    <x v="232"/>
    <s v="Increasing"/>
  </r>
  <r>
    <x v="233"/>
    <x v="5"/>
    <x v="0"/>
    <n v="99.25"/>
    <n v="99.870002999999997"/>
    <n v="98.959998999999996"/>
    <n v="99.029999000000004"/>
    <n v="22409500"/>
    <n v="97.570279999999997"/>
    <n v="90.118897610000005"/>
    <n v="96.189832800000005"/>
    <n v="102.260768"/>
    <x v="199"/>
    <x v="233"/>
    <s v="Decreasing"/>
  </r>
  <r>
    <x v="234"/>
    <x v="5"/>
    <x v="0"/>
    <n v="99.019997000000004"/>
    <n v="99.559997999999993"/>
    <n v="98.68"/>
    <n v="98.940002000000007"/>
    <n v="20848100"/>
    <n v="97.481610000000003"/>
    <n v="90.478852070000002"/>
    <n v="96.491166149999998"/>
    <n v="102.5034802"/>
    <x v="219"/>
    <x v="234"/>
    <s v="Decreasing"/>
  </r>
  <r>
    <x v="235"/>
    <x v="5"/>
    <x v="0"/>
    <n v="98.5"/>
    <n v="99.989998"/>
    <n v="98.459998999999996"/>
    <n v="99.650002000000001"/>
    <n v="26601400"/>
    <n v="98.181144000000003"/>
    <n v="90.924794590000005"/>
    <n v="96.817166119999996"/>
    <n v="102.7095376"/>
    <x v="220"/>
    <x v="235"/>
    <s v="Increasing"/>
  </r>
  <r>
    <x v="236"/>
    <x v="5"/>
    <x v="0"/>
    <n v="98.529999000000004"/>
    <n v="99.349997999999999"/>
    <n v="98.480002999999996"/>
    <n v="98.830001999999993"/>
    <n v="31712900"/>
    <n v="97.373231000000004"/>
    <n v="91.941663289999994"/>
    <n v="97.218332899999993"/>
    <n v="102.4950025"/>
    <x v="221"/>
    <x v="236"/>
    <s v="Increasing"/>
  </r>
  <r>
    <x v="237"/>
    <x v="5"/>
    <x v="0"/>
    <n v="98.690002000000007"/>
    <n v="99.120002999999997"/>
    <n v="97.099997999999999"/>
    <n v="97.339995999999999"/>
    <n v="38020500"/>
    <n v="95.905187999999995"/>
    <n v="93.215971049999993"/>
    <n v="97.574499599999996"/>
    <n v="101.9330281"/>
    <x v="222"/>
    <x v="237"/>
    <s v="Decreasing"/>
  </r>
  <r>
    <x v="238"/>
    <x v="5"/>
    <x v="0"/>
    <n v="97.32"/>
    <n v="98.480002999999996"/>
    <n v="96.75"/>
    <n v="97.459998999999996"/>
    <n v="31931900"/>
    <n v="96.023421999999997"/>
    <n v="93.892115020000006"/>
    <n v="97.787333000000004"/>
    <n v="101.682551"/>
    <x v="2"/>
    <x v="238"/>
    <s v="Increasing"/>
  </r>
  <r>
    <x v="239"/>
    <x v="5"/>
    <x v="0"/>
    <n v="97.82"/>
    <n v="98.410004000000001"/>
    <n v="97.029999000000004"/>
    <n v="97.139999000000003"/>
    <n v="29445200"/>
    <n v="95.708139000000003"/>
    <n v="94.548379879999999"/>
    <n v="97.976999750000004"/>
    <n v="101.40561959999999"/>
    <x v="223"/>
    <x v="239"/>
    <s v="Decreasing"/>
  </r>
  <r>
    <x v="240"/>
    <x v="5"/>
    <x v="0"/>
    <n v="96.449996999999996"/>
    <n v="97.75"/>
    <n v="96.07"/>
    <n v="97.550003000000004"/>
    <n v="31326800"/>
    <n v="96.112099999999998"/>
    <n v="95.02478017"/>
    <n v="98.105499870000003"/>
    <n v="101.1862196"/>
    <x v="145"/>
    <x v="240"/>
    <s v="Increasing"/>
  </r>
  <r>
    <x v="241"/>
    <x v="5"/>
    <x v="0"/>
    <n v="96.620002999999997"/>
    <n v="96.650002000000001"/>
    <n v="95.300003000000004"/>
    <n v="95.330001999999993"/>
    <n v="61008200"/>
    <n v="93.924820999999994"/>
    <n v="95.463722750000002"/>
    <n v="98.186666720000005"/>
    <n v="100.9096107"/>
    <x v="224"/>
    <x v="241"/>
    <s v="Decreasing"/>
  </r>
  <r>
    <x v="242"/>
    <x v="5"/>
    <x v="0"/>
    <n v="96"/>
    <n v="96.57"/>
    <n v="95.029999000000004"/>
    <n v="95.099997999999999"/>
    <n v="34411900"/>
    <n v="93.698207999999994"/>
    <n v="95.599634769999994"/>
    <n v="98.212166699999997"/>
    <n v="100.8246986"/>
    <x v="225"/>
    <x v="242"/>
    <s v="Decreasing"/>
  </r>
  <r>
    <x v="243"/>
    <x v="5"/>
    <x v="0"/>
    <n v="94.940002000000007"/>
    <n v="96.349997999999999"/>
    <n v="94.68"/>
    <n v="95.910004000000001"/>
    <n v="35546400"/>
    <n v="94.496274"/>
    <n v="95.434328719999996"/>
    <n v="98.173000070000001"/>
    <n v="100.9116714"/>
    <x v="226"/>
    <x v="243"/>
    <s v="Increasing"/>
  </r>
  <r>
    <x v="244"/>
    <x v="5"/>
    <x v="0"/>
    <n v="96.25"/>
    <n v="96.889999000000003"/>
    <n v="95.349997999999999"/>
    <n v="95.550003000000004"/>
    <n v="29219100"/>
    <n v="94.141580000000005"/>
    <n v="95.188153330000006"/>
    <n v="98.089000170000006"/>
    <n v="100.989847"/>
    <x v="126"/>
    <x v="244"/>
    <s v="Decreasing"/>
  </r>
  <r>
    <x v="245"/>
    <x v="5"/>
    <x v="0"/>
    <n v="95.940002000000007"/>
    <n v="96.290001000000004"/>
    <n v="95.25"/>
    <n v="96.099997999999999"/>
    <n v="32240200"/>
    <n v="94.683468000000005"/>
    <n v="94.915930849999995"/>
    <n v="97.925166779999998"/>
    <n v="100.93440270000001"/>
    <x v="227"/>
    <x v="245"/>
    <s v="Increasing"/>
  </r>
  <r>
    <x v="246"/>
    <x v="5"/>
    <x v="0"/>
    <n v="92.910004000000001"/>
    <n v="94.660004000000001"/>
    <n v="92.650002000000001"/>
    <n v="93.400002000000001"/>
    <n v="75311400"/>
    <n v="92.023269999999997"/>
    <n v="94.195044249999995"/>
    <n v="97.607333479999994"/>
    <n v="101.0196227"/>
    <x v="151"/>
    <x v="246"/>
    <s v="Increasing"/>
  </r>
  <r>
    <x v="247"/>
    <x v="5"/>
    <x v="0"/>
    <n v="93"/>
    <n v="93.050003000000004"/>
    <n v="91.5"/>
    <n v="92.040001000000004"/>
    <n v="45489600"/>
    <n v="90.683316000000005"/>
    <n v="93.251305990000006"/>
    <n v="97.216000230000006"/>
    <n v="101.1806945"/>
    <x v="228"/>
    <x v="247"/>
    <s v="Decreasing"/>
  </r>
  <r>
    <x v="248"/>
    <x v="5"/>
    <x v="0"/>
    <n v="92.900002000000001"/>
    <n v="93.660004000000001"/>
    <n v="92.139999000000003"/>
    <n v="93.589995999999999"/>
    <n v="40444900"/>
    <n v="92.210464000000002"/>
    <n v="92.716542320000002"/>
    <n v="96.887833499999999"/>
    <n v="101.0591247"/>
    <x v="229"/>
    <x v="248"/>
    <s v="Increasing"/>
  </r>
  <r>
    <x v="249"/>
    <x v="5"/>
    <x v="0"/>
    <n v="93.970000999999996"/>
    <n v="94.550003000000004"/>
    <n v="93.629997000000003"/>
    <n v="94.400002000000001"/>
    <n v="36531000"/>
    <n v="93.008529999999993"/>
    <n v="92.424504870000007"/>
    <n v="96.658666830000001"/>
    <n v="100.8928288"/>
    <x v="230"/>
    <x v="249"/>
    <s v="Increasing"/>
  </r>
  <r>
    <x v="250"/>
    <x v="5"/>
    <x v="0"/>
    <n v="94.440002000000007"/>
    <n v="95.769997000000004"/>
    <n v="94.300003000000004"/>
    <n v="95.599997999999999"/>
    <n v="35836400"/>
    <n v="94.190837999999999"/>
    <n v="92.285729790000005"/>
    <n v="96.550000229999995"/>
    <n v="100.81427069999999"/>
    <x v="231"/>
    <x v="250"/>
    <s v="Increasing"/>
  </r>
  <r>
    <x v="251"/>
    <x v="6"/>
    <x v="2"/>
    <n v="126.900002"/>
    <n v="126.94000200000001"/>
    <n v="125.989998"/>
    <n v="126.599998"/>
    <n v="30238800"/>
    <n v="122.231083"/>
    <n v="125.319636"/>
    <n v="127.50749999999999"/>
    <n v="129.69536389999999"/>
    <x v="232"/>
    <x v="251"/>
    <s v="Decreasing"/>
  </r>
  <r>
    <x v="252"/>
    <x v="6"/>
    <x v="2"/>
    <n v="126.43"/>
    <n v="126.69000200000001"/>
    <n v="125.769997"/>
    <n v="126.44000200000001"/>
    <n v="27211000"/>
    <n v="122.076609"/>
    <n v="125.3221027"/>
    <n v="127.3416666"/>
    <n v="129.36123040000001"/>
    <x v="233"/>
    <x v="252"/>
    <s v="Increasing"/>
  </r>
  <r>
    <x v="253"/>
    <x v="6"/>
    <x v="2"/>
    <n v="124.94000200000001"/>
    <n v="126.230003"/>
    <n v="124.849998"/>
    <n v="126"/>
    <n v="28060400"/>
    <n v="121.65179000000001"/>
    <n v="125.172968"/>
    <n v="127.18133330000001"/>
    <n v="129.18969860000001"/>
    <x v="234"/>
    <x v="253"/>
    <s v="Increasing"/>
  </r>
  <r>
    <x v="254"/>
    <x v="6"/>
    <x v="2"/>
    <n v="125.889999"/>
    <n v="126.150002"/>
    <n v="123.769997"/>
    <n v="125.69000200000001"/>
    <n v="46946800"/>
    <n v="121.352491"/>
    <n v="124.89390589999999"/>
    <n v="127.04416639999999"/>
    <n v="129.19442699999999"/>
    <x v="235"/>
    <x v="254"/>
    <s v="Decreasing"/>
  </r>
  <r>
    <x v="255"/>
    <x v="6"/>
    <x v="2"/>
    <n v="124.480003"/>
    <n v="124.639999"/>
    <n v="122.540001"/>
    <n v="122.57"/>
    <n v="60761600"/>
    <n v="118.340158"/>
    <n v="124.1418974"/>
    <n v="126.8546664"/>
    <n v="129.56743539999999"/>
    <x v="236"/>
    <x v="255"/>
    <s v="Decreasing"/>
  </r>
  <r>
    <x v="256"/>
    <x v="6"/>
    <x v="2"/>
    <n v="123.849998"/>
    <n v="124.05999799999999"/>
    <n v="119.220001"/>
    <n v="120.07"/>
    <n v="77821600"/>
    <n v="115.92643200000001"/>
    <n v="122.9127426"/>
    <n v="126.4759997"/>
    <n v="130.0392568"/>
    <x v="237"/>
    <x v="256"/>
    <s v="Decreasing"/>
  </r>
  <r>
    <x v="257"/>
    <x v="6"/>
    <x v="2"/>
    <n v="121.94000200000001"/>
    <n v="123.849998"/>
    <n v="121.209999"/>
    <n v="123.279999"/>
    <n v="61354500"/>
    <n v="119.025655"/>
    <n v="122.4632754"/>
    <n v="126.1608332"/>
    <n v="129.85839110000001"/>
    <x v="238"/>
    <x v="257"/>
    <s v="Increasing"/>
  </r>
  <r>
    <x v="258"/>
    <x v="6"/>
    <x v="2"/>
    <n v="125.029999"/>
    <n v="125.760002"/>
    <n v="124.32"/>
    <n v="125.660004"/>
    <n v="41440500"/>
    <n v="121.323527"/>
    <n v="122.3846331"/>
    <n v="126.0463333"/>
    <n v="129.7080335"/>
    <x v="239"/>
    <x v="258"/>
    <s v="Increasing"/>
  </r>
  <r>
    <x v="259"/>
    <x v="6"/>
    <x v="2"/>
    <n v="126.040001"/>
    <n v="126.370003"/>
    <n v="125.040001"/>
    <n v="125.610001"/>
    <n v="31768100"/>
    <n v="121.27525"/>
    <n v="122.343664"/>
    <n v="125.9988335"/>
    <n v="129.65400289999999"/>
    <x v="240"/>
    <x v="259"/>
    <s v="Decreasing"/>
  </r>
  <r>
    <x v="260"/>
    <x v="6"/>
    <x v="2"/>
    <n v="125.720001"/>
    <n v="127.150002"/>
    <n v="125.58000199999999"/>
    <n v="126.82"/>
    <n v="33649200"/>
    <n v="122.44349200000001"/>
    <n v="122.3439159"/>
    <n v="125.9610002"/>
    <n v="129.57808460000001"/>
    <x v="241"/>
    <x v="260"/>
    <s v="Increasing"/>
  </r>
  <r>
    <x v="261"/>
    <x v="6"/>
    <x v="2"/>
    <n v="127.739998"/>
    <n v="128.570007"/>
    <n v="127.349998"/>
    <n v="128.509995"/>
    <n v="36222400"/>
    <n v="124.075166"/>
    <n v="122.3059902"/>
    <n v="126.0028336"/>
    <n v="129.69967700000001"/>
    <x v="242"/>
    <x v="261"/>
    <s v="Increasing"/>
  </r>
  <r>
    <x v="262"/>
    <x v="6"/>
    <x v="2"/>
    <n v="129.08000200000001"/>
    <n v="129.61999499999999"/>
    <n v="128.30999800000001"/>
    <n v="129.61999499999999"/>
    <n v="46164700"/>
    <n v="125.146861"/>
    <n v="122.1959647"/>
    <n v="126.0718335"/>
    <n v="129.9477023"/>
    <x v="243"/>
    <x v="262"/>
    <s v="Increasing"/>
  </r>
  <r>
    <x v="263"/>
    <x v="6"/>
    <x v="2"/>
    <n v="130.970001"/>
    <n v="132.970001"/>
    <n v="130.699997"/>
    <n v="132.070007"/>
    <n v="58900200"/>
    <n v="127.51232400000001"/>
    <n v="121.6892041"/>
    <n v="126.3205002"/>
    <n v="130.95179630000001"/>
    <x v="145"/>
    <x v="263"/>
    <s v="Increasing"/>
  </r>
  <r>
    <x v="264"/>
    <x v="6"/>
    <x v="2"/>
    <n v="132.85000600000001"/>
    <n v="132.91999799999999"/>
    <n v="130.320007"/>
    <n v="130.75"/>
    <n v="76756400"/>
    <n v="126.23787"/>
    <n v="121.4079709"/>
    <n v="126.5078336"/>
    <n v="131.60769629999999"/>
    <x v="244"/>
    <x v="264"/>
    <s v="Decreasing"/>
  </r>
  <r>
    <x v="265"/>
    <x v="6"/>
    <x v="2"/>
    <n v="121.989998"/>
    <n v="125.5"/>
    <n v="121.989998"/>
    <n v="125.220001"/>
    <n v="115450600"/>
    <n v="120.898709"/>
    <n v="121.1778138"/>
    <n v="126.3610003"/>
    <n v="131.54418680000001"/>
    <x v="245"/>
    <x v="265"/>
    <s v="Increasing"/>
  </r>
  <r>
    <x v="266"/>
    <x v="6"/>
    <x v="2"/>
    <n v="126.199997"/>
    <n v="127.089996"/>
    <n v="125.05999799999999"/>
    <n v="125.160004"/>
    <n v="50999500"/>
    <n v="120.840782"/>
    <n v="121.1251692"/>
    <n v="126.2323335"/>
    <n v="131.3394978"/>
    <x v="246"/>
    <x v="266"/>
    <s v="Decreasing"/>
  </r>
  <r>
    <x v="267"/>
    <x v="6"/>
    <x v="2"/>
    <n v="125.32"/>
    <n v="125.739998"/>
    <n v="123.900002"/>
    <n v="124.5"/>
    <n v="42162300"/>
    <n v="120.20355499999999"/>
    <n v="120.989315"/>
    <n v="126.06466690000001"/>
    <n v="131.14001870000001"/>
    <x v="82"/>
    <x v="267"/>
    <s v="Decreasing"/>
  </r>
  <r>
    <x v="268"/>
    <x v="6"/>
    <x v="2"/>
    <n v="123.089996"/>
    <n v="123.610001"/>
    <n v="122.120003"/>
    <n v="122.769997"/>
    <n v="44455500"/>
    <n v="118.533253"/>
    <n v="120.6120011"/>
    <n v="125.8521669"/>
    <n v="131.09233269999999"/>
    <x v="247"/>
    <x v="268"/>
    <s v="Decreasing"/>
  </r>
  <r>
    <x v="269"/>
    <x v="6"/>
    <x v="2"/>
    <n v="123.379997"/>
    <n v="123.910004"/>
    <n v="122.550003"/>
    <n v="123.379997"/>
    <n v="33618100"/>
    <n v="119.122203"/>
    <n v="120.4054683"/>
    <n v="125.75816690000001"/>
    <n v="131.11086549999999"/>
    <x v="248"/>
    <x v="269"/>
    <s v="Increasing"/>
  </r>
  <r>
    <x v="270"/>
    <x v="6"/>
    <x v="2"/>
    <n v="123.150002"/>
    <n v="123.5"/>
    <n v="122.269997"/>
    <n v="122.989998"/>
    <n v="37011700"/>
    <n v="118.745662"/>
    <n v="120.1369622"/>
    <n v="125.6306668"/>
    <n v="131.12437130000001"/>
    <x v="249"/>
    <x v="270"/>
    <s v="Decreasing"/>
  </r>
  <r>
    <x v="271"/>
    <x v="6"/>
    <x v="2"/>
    <n v="122.32"/>
    <n v="122.57"/>
    <n v="121.709999"/>
    <n v="122.370003"/>
    <n v="33628300"/>
    <n v="118.147063"/>
    <n v="119.74388449999999"/>
    <n v="125.4160002"/>
    <n v="131.0881158"/>
    <x v="250"/>
    <x v="271"/>
    <s v="Increasing"/>
  </r>
  <r>
    <x v="272"/>
    <x v="6"/>
    <x v="2"/>
    <n v="122.599998"/>
    <n v="122.639999"/>
    <n v="120.910004"/>
    <n v="121.300003"/>
    <n v="42885000"/>
    <n v="117.113989"/>
    <n v="119.2924998"/>
    <n v="125.1818336"/>
    <n v="131.07116740000001"/>
    <x v="251"/>
    <x v="272"/>
    <s v="Decreasing"/>
  </r>
  <r>
    <x v="273"/>
    <x v="6"/>
    <x v="0"/>
    <n v="95.489998"/>
    <n v="96.470000999999996"/>
    <n v="95.330001999999993"/>
    <n v="95.889999000000003"/>
    <n v="26026500"/>
    <n v="94.476564999999994"/>
    <n v="92.222801469999993"/>
    <n v="96.450833729999999"/>
    <n v="100.678866"/>
    <x v="252"/>
    <x v="273"/>
    <s v="Increasing"/>
  </r>
  <r>
    <x v="274"/>
    <x v="6"/>
    <x v="0"/>
    <n v="95.389999000000003"/>
    <n v="95.400002000000001"/>
    <n v="94.459998999999996"/>
    <n v="94.989998"/>
    <n v="27705200"/>
    <n v="93.589828999999995"/>
    <n v="92.175405130000001"/>
    <n v="96.230500399999997"/>
    <n v="100.2855957"/>
    <x v="253"/>
    <x v="274"/>
    <s v="Decreasing"/>
  </r>
  <r>
    <x v="275"/>
    <x v="6"/>
    <x v="0"/>
    <n v="94.599997999999999"/>
    <n v="95.660004000000001"/>
    <n v="94.370002999999997"/>
    <n v="95.529999000000004"/>
    <n v="30949100"/>
    <n v="94.121870000000001"/>
    <n v="92.201159509999997"/>
    <n v="96.025500480000005"/>
    <n v="99.84984145"/>
    <x v="254"/>
    <x v="275"/>
    <s v="Increasing"/>
  </r>
  <r>
    <x v="276"/>
    <x v="6"/>
    <x v="0"/>
    <n v="95.699996999999996"/>
    <n v="96.5"/>
    <n v="95.620002999999997"/>
    <n v="95.940002000000007"/>
    <n v="25139600"/>
    <n v="94.525830999999997"/>
    <n v="92.310982280000005"/>
    <n v="95.873500570000004"/>
    <n v="99.436018849999996"/>
    <x v="255"/>
    <x v="276"/>
    <s v="Increasing"/>
  </r>
  <r>
    <x v="277"/>
    <x v="6"/>
    <x v="0"/>
    <n v="96.489998"/>
    <n v="96.889999000000003"/>
    <n v="96.050003000000004"/>
    <n v="96.68"/>
    <n v="28912100"/>
    <n v="95.254920999999996"/>
    <n v="92.529037689999996"/>
    <n v="95.732167279999999"/>
    <n v="98.935296879999996"/>
    <x v="256"/>
    <x v="277"/>
    <s v="Increasing"/>
  </r>
  <r>
    <x v="278"/>
    <x v="6"/>
    <x v="0"/>
    <n v="96.75"/>
    <n v="97.650002000000001"/>
    <n v="96.730002999999996"/>
    <n v="96.980002999999996"/>
    <n v="23794900"/>
    <n v="95.550501999999994"/>
    <n v="92.707191219999999"/>
    <n v="95.643834029999994"/>
    <n v="98.580476849999997"/>
    <x v="257"/>
    <x v="278"/>
    <s v="Increasing"/>
  </r>
  <r>
    <x v="279"/>
    <x v="6"/>
    <x v="0"/>
    <n v="97.169998000000007"/>
    <n v="97.699996999999996"/>
    <n v="97.120002999999997"/>
    <n v="97.419998000000007"/>
    <n v="24167500"/>
    <n v="95.984010999999995"/>
    <n v="92.745763190000005"/>
    <n v="95.621834050000004"/>
    <n v="98.497904910000003"/>
    <x v="104"/>
    <x v="279"/>
    <s v="Increasing"/>
  </r>
  <r>
    <x v="280"/>
    <x v="6"/>
    <x v="0"/>
    <n v="97.410004000000001"/>
    <n v="97.669998000000007"/>
    <n v="96.839995999999999"/>
    <n v="96.870002999999997"/>
    <n v="25892200"/>
    <n v="95.442122999999995"/>
    <n v="92.777077320000004"/>
    <n v="95.600000629999997"/>
    <n v="98.422923940000004"/>
    <x v="258"/>
    <x v="280"/>
    <s v="Decreasing"/>
  </r>
  <r>
    <x v="281"/>
    <x v="6"/>
    <x v="0"/>
    <n v="97.389999000000003"/>
    <n v="98.989998"/>
    <n v="97.32"/>
    <n v="98.790001000000004"/>
    <n v="38919000"/>
    <n v="97.333820000000003"/>
    <n v="92.683906780000001"/>
    <n v="95.642000580000001"/>
    <n v="98.600094380000002"/>
    <x v="259"/>
    <x v="281"/>
    <s v="Increasing"/>
  </r>
  <r>
    <x v="282"/>
    <x v="6"/>
    <x v="0"/>
    <n v="98.919998000000007"/>
    <n v="99.300003000000004"/>
    <n v="98.5"/>
    <n v="98.779999000000004"/>
    <n v="30137000"/>
    <n v="97.323965000000001"/>
    <n v="92.51132029"/>
    <n v="95.728833899999998"/>
    <n v="98.946347509999995"/>
    <x v="260"/>
    <x v="282"/>
    <s v="Decreasing"/>
  </r>
  <r>
    <x v="283"/>
    <x v="6"/>
    <x v="0"/>
    <n v="98.699996999999996"/>
    <n v="100.129997"/>
    <n v="98.599997999999999"/>
    <n v="99.830001999999993"/>
    <n v="36493900"/>
    <n v="98.358491000000001"/>
    <n v="92.299457570000001"/>
    <n v="95.916833729999993"/>
    <n v="99.534209899999993"/>
    <x v="22"/>
    <x v="283"/>
    <s v="Increasing"/>
  </r>
  <r>
    <x v="284"/>
    <x v="6"/>
    <x v="0"/>
    <n v="99.559997999999993"/>
    <n v="100"/>
    <n v="99.339995999999999"/>
    <n v="99.870002999999997"/>
    <n v="23779900"/>
    <n v="98.397902000000002"/>
    <n v="92.149755580000004"/>
    <n v="96.125333769999997"/>
    <n v="100.10091199999999"/>
    <x v="261"/>
    <x v="284"/>
    <s v="Increasing"/>
  </r>
  <r>
    <x v="285"/>
    <x v="6"/>
    <x v="0"/>
    <n v="100"/>
    <n v="100.459999"/>
    <n v="99.739998"/>
    <n v="99.959998999999996"/>
    <n v="26276000"/>
    <n v="98.486571999999995"/>
    <n v="92.026981469999996"/>
    <n v="96.345667000000006"/>
    <n v="100.66435250000001"/>
    <x v="262"/>
    <x v="285"/>
    <s v="Decreasing"/>
  </r>
  <r>
    <x v="286"/>
    <x v="6"/>
    <x v="0"/>
    <n v="99.830001999999993"/>
    <n v="101"/>
    <n v="99.129997000000003"/>
    <n v="99.43"/>
    <n v="32702000"/>
    <n v="97.964384999999993"/>
    <n v="91.967633489999997"/>
    <n v="96.541833620000006"/>
    <n v="101.1160337"/>
    <x v="263"/>
    <x v="286"/>
    <s v="Decreasing"/>
  </r>
  <r>
    <x v="287"/>
    <x v="6"/>
    <x v="0"/>
    <n v="99.260002"/>
    <n v="99.300003000000004"/>
    <n v="98.309997999999993"/>
    <n v="98.660004000000001"/>
    <n v="28313700"/>
    <n v="97.205738999999994"/>
    <n v="92.023688039999996"/>
    <n v="96.685667050000006"/>
    <n v="101.34764610000001"/>
    <x v="264"/>
    <x v="287"/>
    <s v="Decreasing"/>
  </r>
  <r>
    <x v="288"/>
    <x v="6"/>
    <x v="0"/>
    <n v="98.25"/>
    <n v="98.839995999999999"/>
    <n v="96.919998000000007"/>
    <n v="97.339995999999999"/>
    <n v="40382900"/>
    <n v="95.905187999999995"/>
    <n v="92.439327230000004"/>
    <n v="96.892166750000001"/>
    <n v="101.34500629999999"/>
    <x v="265"/>
    <x v="288"/>
    <s v="Decreasing"/>
  </r>
  <r>
    <x v="289"/>
    <x v="6"/>
    <x v="0"/>
    <n v="96.82"/>
    <n v="97.970000999999996"/>
    <n v="96.419998000000007"/>
    <n v="96.669998000000007"/>
    <n v="56239800"/>
    <n v="95.245065999999994"/>
    <n v="93.236044359999994"/>
    <n v="97.133333300000004"/>
    <n v="101.0306222"/>
    <x v="266"/>
    <x v="289"/>
    <s v="Decreasing"/>
  </r>
  <r>
    <x v="290"/>
    <x v="6"/>
    <x v="0"/>
    <n v="104.269997"/>
    <n v="104.349998"/>
    <n v="102.75"/>
    <n v="102.949997"/>
    <n v="92344800"/>
    <n v="101.432497"/>
    <n v="93.323635820000007"/>
    <n v="97.644333230000001"/>
    <n v="101.96503060000001"/>
    <x v="267"/>
    <x v="290"/>
    <s v="Decreasing"/>
  </r>
  <r>
    <x v="291"/>
    <x v="6"/>
    <x v="0"/>
    <n v="102.83000199999999"/>
    <n v="104.449997"/>
    <n v="102.82"/>
    <n v="104.339996"/>
    <n v="39869800"/>
    <n v="102.802007"/>
    <n v="93.321717800000002"/>
    <n v="98.128166419999999"/>
    <n v="102.93461499999999"/>
    <x v="268"/>
    <x v="291"/>
    <s v="Increasing"/>
  </r>
  <r>
    <x v="292"/>
    <x v="6"/>
    <x v="0"/>
    <n v="104.19000200000001"/>
    <n v="104.550003"/>
    <n v="103.68"/>
    <n v="104.209999"/>
    <n v="27733700"/>
    <n v="102.67392599999999"/>
    <n v="93.295834490000004"/>
    <n v="98.574333150000001"/>
    <n v="103.8528318"/>
    <x v="269"/>
    <x v="292"/>
    <s v="Increasing"/>
  </r>
  <r>
    <x v="293"/>
    <x v="7"/>
    <x v="2"/>
    <n v="121.5"/>
    <n v="122.57"/>
    <n v="117.519997"/>
    <n v="118.44000200000001"/>
    <n v="69976000"/>
    <n v="114.35268499999999"/>
    <n v="118.49430270000001"/>
    <n v="124.8726669"/>
    <n v="131.25103110000001"/>
    <x v="270"/>
    <x v="293"/>
    <s v="Decreasing"/>
  </r>
  <r>
    <x v="294"/>
    <x v="7"/>
    <x v="2"/>
    <n v="117.41999800000001"/>
    <n v="117.699997"/>
    <n v="113.25"/>
    <n v="114.639999"/>
    <n v="124138600"/>
    <n v="110.683819"/>
    <n v="116.7313042"/>
    <n v="124.3723335"/>
    <n v="132.01336280000001"/>
    <x v="156"/>
    <x v="294"/>
    <s v="Decreasing"/>
  </r>
  <r>
    <x v="295"/>
    <x v="7"/>
    <x v="2"/>
    <n v="112.949997"/>
    <n v="117.44000200000001"/>
    <n v="112.099998"/>
    <n v="115.400002"/>
    <n v="99312600"/>
    <n v="111.41759399999999"/>
    <n v="115.2932316"/>
    <n v="123.9588335"/>
    <n v="132.62443540000001"/>
    <x v="271"/>
    <x v="295"/>
    <s v="Increasing"/>
  </r>
  <r>
    <x v="296"/>
    <x v="7"/>
    <x v="2"/>
    <n v="115.970001"/>
    <n v="116.5"/>
    <n v="114.120003"/>
    <n v="115.129997"/>
    <n v="52903000"/>
    <n v="111.66005"/>
    <n v="114.26860430000001"/>
    <n v="123.6655002"/>
    <n v="133.0623961"/>
    <x v="272"/>
    <x v="296"/>
    <s v="Decreasing"/>
  </r>
  <r>
    <x v="297"/>
    <x v="7"/>
    <x v="2"/>
    <n v="114.58000199999999"/>
    <n v="116.25"/>
    <n v="114.5"/>
    <n v="115.519997"/>
    <n v="38670400"/>
    <n v="112.03829500000001"/>
    <n v="113.2383284"/>
    <n v="123.2976669"/>
    <n v="133.3570053"/>
    <x v="273"/>
    <x v="297"/>
    <s v="Increasing"/>
  </r>
  <r>
    <x v="298"/>
    <x v="7"/>
    <x v="2"/>
    <n v="116.529999"/>
    <n v="119.989998"/>
    <n v="116.529999"/>
    <n v="119.720001"/>
    <n v="54951600"/>
    <n v="116.11171400000001"/>
    <n v="112.76725690000001"/>
    <n v="122.9726667"/>
    <n v="133.1780766"/>
    <x v="274"/>
    <x v="298"/>
    <s v="Increasing"/>
  </r>
  <r>
    <x v="299"/>
    <x v="7"/>
    <x v="2"/>
    <n v="117.80999799999999"/>
    <n v="118.18"/>
    <n v="113.33000199999999"/>
    <n v="113.489998"/>
    <n v="97082800"/>
    <n v="110.069479"/>
    <n v="111.7495121"/>
    <n v="122.43899999999999"/>
    <n v="133.12848779999999"/>
    <x v="275"/>
    <x v="299"/>
    <s v="Decreasing"/>
  </r>
  <r>
    <x v="300"/>
    <x v="7"/>
    <x v="2"/>
    <n v="112.529999"/>
    <n v="115.41999800000001"/>
    <n v="109.629997"/>
    <n v="115.239998"/>
    <n v="101217500"/>
    <n v="111.766735"/>
    <n v="110.5837964"/>
    <n v="121.7846665"/>
    <n v="132.98553649999999"/>
    <x v="276"/>
    <x v="300"/>
    <s v="Increasing"/>
  </r>
  <r>
    <x v="301"/>
    <x v="7"/>
    <x v="2"/>
    <n v="116.040001"/>
    <n v="116.400002"/>
    <n v="114.540001"/>
    <n v="115.150002"/>
    <n v="48535800"/>
    <n v="111.679451"/>
    <n v="110.0107495"/>
    <n v="121.1456666"/>
    <n v="132.2805836"/>
    <x v="277"/>
    <x v="301"/>
    <s v="Decreasing"/>
  </r>
  <r>
    <x v="302"/>
    <x v="7"/>
    <x v="2"/>
    <n v="114.32"/>
    <n v="116.30999799999999"/>
    <n v="114.010002"/>
    <n v="115.959999"/>
    <n v="42929500"/>
    <n v="112.465036"/>
    <n v="109.7007656"/>
    <n v="120.4578334"/>
    <n v="131.21490120000001"/>
    <x v="278"/>
    <x v="302"/>
    <s v="Increasing"/>
  </r>
  <r>
    <x v="303"/>
    <x v="7"/>
    <x v="2"/>
    <n v="116.040001"/>
    <n v="117.650002"/>
    <n v="115.5"/>
    <n v="117.160004"/>
    <n v="40884700"/>
    <n v="113.628873"/>
    <n v="110.2193367"/>
    <n v="119.70066679999999"/>
    <n v="129.18199680000001"/>
    <x v="279"/>
    <x v="303"/>
    <s v="Increasing"/>
  </r>
  <r>
    <x v="304"/>
    <x v="7"/>
    <x v="2"/>
    <n v="116.43"/>
    <n v="117.44000200000001"/>
    <n v="116.010002"/>
    <n v="116.5"/>
    <n v="34560700"/>
    <n v="112.988761"/>
    <n v="111.057582"/>
    <n v="118.9666667"/>
    <n v="126.8757514"/>
    <x v="280"/>
    <x v="304"/>
    <s v="Increasing"/>
  </r>
  <r>
    <x v="305"/>
    <x v="7"/>
    <x v="2"/>
    <n v="116.099998"/>
    <n v="116.519997"/>
    <n v="114.68"/>
    <n v="115.010002"/>
    <n v="47445700"/>
    <n v="111.543671"/>
    <n v="110.8596081"/>
    <n v="118.5250001"/>
    <n v="126.190392"/>
    <x v="281"/>
    <x v="305"/>
    <s v="Decreasing"/>
  </r>
  <r>
    <x v="306"/>
    <x v="7"/>
    <x v="2"/>
    <n v="114.08000199999999"/>
    <n v="114.349998"/>
    <n v="111.629997"/>
    <n v="112.650002"/>
    <n v="68501600"/>
    <n v="109.2548"/>
    <n v="110.60169430000001"/>
    <n v="117.8803334"/>
    <n v="125.1589724"/>
    <x v="282"/>
    <x v="306"/>
    <s v="Decreasing"/>
  </r>
  <r>
    <x v="307"/>
    <x v="7"/>
    <x v="2"/>
    <n v="110.43"/>
    <n v="111.900002"/>
    <n v="105.650002"/>
    <n v="105.760002"/>
    <n v="128275500"/>
    <n v="102.572461"/>
    <n v="109.2092545"/>
    <n v="117.0331668"/>
    <n v="124.85707910000001"/>
    <x v="283"/>
    <x v="307"/>
    <s v="Decreasing"/>
  </r>
  <r>
    <x v="308"/>
    <x v="7"/>
    <x v="2"/>
    <n v="94.870002999999997"/>
    <n v="108.800003"/>
    <n v="92"/>
    <n v="103.120003"/>
    <n v="162206300"/>
    <n v="100.012029"/>
    <n v="105.9911026"/>
    <n v="115.9568336"/>
    <n v="125.92256449999999"/>
    <x v="284"/>
    <x v="308"/>
    <s v="Increasing"/>
  </r>
  <r>
    <x v="309"/>
    <x v="7"/>
    <x v="2"/>
    <n v="111.110001"/>
    <n v="111.110001"/>
    <n v="103.5"/>
    <n v="103.739998"/>
    <n v="103601600"/>
    <n v="100.613338"/>
    <n v="104.85122749999999"/>
    <n v="115.0986668"/>
    <n v="125.34610619999999"/>
    <x v="285"/>
    <x v="309"/>
    <s v="Decreasing"/>
  </r>
  <r>
    <x v="310"/>
    <x v="7"/>
    <x v="2"/>
    <n v="107.089996"/>
    <n v="109.889999"/>
    <n v="105.050003"/>
    <n v="109.69000200000001"/>
    <n v="96774600"/>
    <n v="106.384013"/>
    <n v="104.35805480000001"/>
    <n v="114.363167"/>
    <n v="124.3682792"/>
    <x v="286"/>
    <x v="310"/>
    <s v="Increasing"/>
  </r>
  <r>
    <x v="311"/>
    <x v="7"/>
    <x v="2"/>
    <n v="112.230003"/>
    <n v="113.239998"/>
    <n v="110.019997"/>
    <n v="112.91999800000001"/>
    <n v="84616100"/>
    <n v="109.516659"/>
    <n v="104.4853754"/>
    <n v="113.8553335"/>
    <n v="123.22529160000001"/>
    <x v="287"/>
    <x v="311"/>
    <s v="Increasing"/>
  </r>
  <r>
    <x v="312"/>
    <x v="7"/>
    <x v="2"/>
    <n v="112.16999800000001"/>
    <n v="113.30999799999999"/>
    <n v="111.540001"/>
    <n v="113.290001"/>
    <n v="53164400"/>
    <n v="109.87551000000001"/>
    <n v="104.7374169"/>
    <n v="113.4101667"/>
    <n v="122.0829165"/>
    <x v="279"/>
    <x v="312"/>
    <s v="Increasing"/>
  </r>
  <r>
    <x v="313"/>
    <x v="7"/>
    <x v="2"/>
    <n v="112.029999"/>
    <n v="114.529999"/>
    <n v="112"/>
    <n v="112.760002"/>
    <n v="56229300"/>
    <n v="109.361485"/>
    <n v="104.8807642"/>
    <n v="113.0895001"/>
    <n v="121.298236"/>
    <x v="288"/>
    <x v="313"/>
    <s v="Increasing"/>
  </r>
  <r>
    <x v="314"/>
    <x v="7"/>
    <x v="0"/>
    <n v="104.410004"/>
    <n v="106.150002"/>
    <n v="104.410004"/>
    <n v="106.050003"/>
    <n v="38167900"/>
    <n v="104.486808"/>
    <n v="93.123871820000005"/>
    <n v="99.056333269999996"/>
    <n v="104.9887947"/>
    <x v="278"/>
    <x v="314"/>
    <s v="Increasing"/>
  </r>
  <r>
    <x v="315"/>
    <x v="7"/>
    <x v="0"/>
    <n v="106.050003"/>
    <n v="106.07"/>
    <n v="104"/>
    <n v="104.480003"/>
    <n v="33816600"/>
    <n v="102.93995"/>
    <n v="93.423126370000006"/>
    <n v="99.551333330000006"/>
    <n v="105.6795403"/>
    <x v="289"/>
    <x v="315"/>
    <s v="Decreasing"/>
  </r>
  <r>
    <x v="316"/>
    <x v="7"/>
    <x v="0"/>
    <n v="104.80999799999999"/>
    <n v="105.839996"/>
    <n v="104.769997"/>
    <n v="105.790001"/>
    <n v="30202600"/>
    <n v="104.230638"/>
    <n v="93.765626249999997"/>
    <n v="100.0653331"/>
    <n v="106.36503999999999"/>
    <x v="177"/>
    <x v="316"/>
    <s v="Increasing"/>
  </r>
  <r>
    <x v="317"/>
    <x v="7"/>
    <x v="0"/>
    <n v="105.58000199999999"/>
    <n v="106"/>
    <n v="105.279999"/>
    <n v="105.870003"/>
    <n v="27408700"/>
    <n v="104.874527"/>
    <n v="94.080187449999997"/>
    <n v="100.55016639999999"/>
    <n v="107.0201454"/>
    <x v="290"/>
    <x v="317"/>
    <s v="Increasing"/>
  </r>
  <r>
    <x v="318"/>
    <x v="7"/>
    <x v="0"/>
    <n v="106.269997"/>
    <n v="107.650002"/>
    <n v="106.18"/>
    <n v="107.480003"/>
    <n v="40553400"/>
    <n v="106.46938900000001"/>
    <n v="94.287360789999994"/>
    <n v="101.07833309999999"/>
    <n v="107.8693055"/>
    <x v="291"/>
    <x v="318"/>
    <s v="Increasing"/>
  </r>
  <r>
    <x v="319"/>
    <x v="7"/>
    <x v="0"/>
    <n v="107.519997"/>
    <n v="108.370003"/>
    <n v="107.160004"/>
    <n v="108.370003"/>
    <n v="28037200"/>
    <n v="107.35102000000001"/>
    <n v="94.458476579999996"/>
    <n v="101.6206665"/>
    <n v="108.7828564"/>
    <x v="292"/>
    <x v="319"/>
    <s v="Increasing"/>
  </r>
  <r>
    <x v="320"/>
    <x v="7"/>
    <x v="0"/>
    <n v="108.230003"/>
    <n v="108.94000200000001"/>
    <n v="108.010002"/>
    <n v="108.80999799999999"/>
    <n v="26315200"/>
    <n v="107.786878"/>
    <n v="94.681784820000004"/>
    <n v="102.1793332"/>
    <n v="109.6768816"/>
    <x v="293"/>
    <x v="320"/>
    <s v="Increasing"/>
  </r>
  <r>
    <x v="321"/>
    <x v="7"/>
    <x v="0"/>
    <n v="108.709999"/>
    <n v="108.900002"/>
    <n v="107.760002"/>
    <n v="108"/>
    <n v="24008500"/>
    <n v="106.98449599999999"/>
    <n v="95.172607580000005"/>
    <n v="102.73399999999999"/>
    <n v="110.29539250000001"/>
    <x v="294"/>
    <x v="321"/>
    <s v="Decreasing"/>
  </r>
  <r>
    <x v="322"/>
    <x v="7"/>
    <x v="0"/>
    <n v="108.519997"/>
    <n v="108.93"/>
    <n v="107.849998"/>
    <n v="107.93"/>
    <n v="27484500"/>
    <n v="106.915155"/>
    <n v="95.582787280000005"/>
    <n v="103.22750000000001"/>
    <n v="110.87221270000001"/>
    <x v="295"/>
    <x v="322"/>
    <s v="Decreasing"/>
  </r>
  <r>
    <x v="323"/>
    <x v="7"/>
    <x v="0"/>
    <n v="107.779999"/>
    <n v="108.44000200000001"/>
    <n v="107.779999"/>
    <n v="108.18"/>
    <n v="18660400"/>
    <n v="107.16280399999999"/>
    <n v="96.037401810000006"/>
    <n v="103.6911667"/>
    <n v="111.3449315"/>
    <x v="252"/>
    <x v="323"/>
    <s v="Increasing"/>
  </r>
  <r>
    <x v="324"/>
    <x v="7"/>
    <x v="0"/>
    <n v="108.139999"/>
    <n v="109.540001"/>
    <n v="108.08000199999999"/>
    <n v="109.480003"/>
    <n v="25868200"/>
    <n v="108.45058400000001"/>
    <n v="96.427123789999996"/>
    <n v="104.1668335"/>
    <n v="111.90654309999999"/>
    <x v="296"/>
    <x v="324"/>
    <s v="Increasing"/>
  </r>
  <r>
    <x v="325"/>
    <x v="7"/>
    <x v="0"/>
    <n v="109.629997"/>
    <n v="110.230003"/>
    <n v="109.209999"/>
    <n v="109.379997"/>
    <n v="33794400"/>
    <n v="108.351518"/>
    <n v="96.855077739999999"/>
    <n v="104.66033349999999"/>
    <n v="112.4655892"/>
    <x v="122"/>
    <x v="325"/>
    <s v="Decreasing"/>
  </r>
  <r>
    <x v="326"/>
    <x v="7"/>
    <x v="0"/>
    <n v="109.099998"/>
    <n v="109.370003"/>
    <n v="108.339996"/>
    <n v="109.220001"/>
    <n v="25356000"/>
    <n v="108.193026"/>
    <n v="97.385942450000002"/>
    <n v="105.1065002"/>
    <n v="112.8270579"/>
    <x v="210"/>
    <x v="326"/>
    <s v="Increasing"/>
  </r>
  <r>
    <x v="327"/>
    <x v="7"/>
    <x v="0"/>
    <n v="109.230003"/>
    <n v="109.599998"/>
    <n v="109.019997"/>
    <n v="109.08000199999999"/>
    <n v="21984700"/>
    <n v="108.054343"/>
    <n v="98.051261890000006"/>
    <n v="105.57550019999999"/>
    <n v="113.0997385"/>
    <x v="297"/>
    <x v="327"/>
    <s v="Decreasing"/>
  </r>
  <r>
    <x v="328"/>
    <x v="7"/>
    <x v="0"/>
    <n v="108.769997"/>
    <n v="109.69000200000001"/>
    <n v="108.360001"/>
    <n v="109.360001"/>
    <n v="25368100"/>
    <n v="108.331709"/>
    <n v="99.110675459999996"/>
    <n v="106.0945002"/>
    <n v="113.0783249"/>
    <x v="298"/>
    <x v="328"/>
    <s v="Increasing"/>
  </r>
  <r>
    <x v="329"/>
    <x v="7"/>
    <x v="0"/>
    <n v="108.860001"/>
    <n v="109.099998"/>
    <n v="107.849998"/>
    <n v="108.510002"/>
    <n v="25820200"/>
    <n v="107.48970300000001"/>
    <n v="100.746454"/>
    <n v="106.6338337"/>
    <n v="112.5212133"/>
    <x v="299"/>
    <x v="329"/>
    <s v="Decreasing"/>
  </r>
  <r>
    <x v="330"/>
    <x v="7"/>
    <x v="0"/>
    <n v="108.589996"/>
    <n v="109.32"/>
    <n v="108.529999"/>
    <n v="108.849998"/>
    <n v="21257700"/>
    <n v="107.826502"/>
    <n v="103.2539397"/>
    <n v="107.22783370000001"/>
    <n v="111.2017276"/>
    <x v="300"/>
    <x v="330"/>
    <s v="Increasing"/>
  </r>
  <r>
    <x v="331"/>
    <x v="7"/>
    <x v="0"/>
    <n v="108.57"/>
    <n v="108.75"/>
    <n v="107.68"/>
    <n v="108.029999"/>
    <n v="23675100"/>
    <n v="107.014213"/>
    <n v="103.9008025"/>
    <n v="107.46800039999999"/>
    <n v="111.0351983"/>
    <x v="93"/>
    <x v="331"/>
    <s v="Decreasing"/>
  </r>
  <r>
    <x v="332"/>
    <x v="7"/>
    <x v="0"/>
    <n v="107.389999"/>
    <n v="107.879997"/>
    <n v="106.68"/>
    <n v="107.57"/>
    <n v="25086200"/>
    <n v="106.558539"/>
    <n v="104.47876789999999"/>
    <n v="107.64333379999999"/>
    <n v="110.80789969999999"/>
    <x v="301"/>
    <x v="332"/>
    <s v="Increasing"/>
  </r>
  <r>
    <x v="333"/>
    <x v="7"/>
    <x v="0"/>
    <n v="107.410004"/>
    <n v="107.949997"/>
    <n v="106.30999799999999"/>
    <n v="106.94000200000001"/>
    <n v="27766300"/>
    <n v="105.934466"/>
    <n v="105.0415368"/>
    <n v="107.7893337"/>
    <n v="110.5371306"/>
    <x v="302"/>
    <x v="333"/>
    <s v="Decreasing"/>
  </r>
  <r>
    <x v="334"/>
    <x v="7"/>
    <x v="0"/>
    <n v="106.620003"/>
    <n v="107.44000200000001"/>
    <n v="106.290001"/>
    <n v="106.82"/>
    <n v="24970300"/>
    <n v="105.815591"/>
    <n v="105.2675866"/>
    <n v="107.8550003"/>
    <n v="110.44241390000001"/>
    <x v="303"/>
    <x v="334"/>
    <s v="Increasing"/>
  </r>
  <r>
    <x v="335"/>
    <x v="7"/>
    <x v="0"/>
    <n v="105.800003"/>
    <n v="106.5"/>
    <n v="105.5"/>
    <n v="106"/>
    <n v="24863900"/>
    <n v="105.00330200000001"/>
    <n v="105.55375359999999"/>
    <n v="107.9125002"/>
    <n v="110.2712468"/>
    <x v="303"/>
    <x v="335"/>
    <s v="Increasing"/>
  </r>
  <r>
    <x v="336"/>
    <x v="7"/>
    <x v="0"/>
    <n v="105.660004"/>
    <n v="106.57"/>
    <n v="105.639999"/>
    <n v="106.099998"/>
    <n v="29662400"/>
    <n v="105.10236"/>
    <n v="105.7042829"/>
    <n v="107.94433359999999"/>
    <n v="110.1843843"/>
    <x v="154"/>
    <x v="336"/>
    <s v="Increasing"/>
  </r>
  <r>
    <x v="337"/>
    <x v="8"/>
    <x v="2"/>
    <n v="110.150002"/>
    <n v="111.879997"/>
    <n v="107.360001"/>
    <n v="107.720001"/>
    <n v="76845900"/>
    <n v="104.473386"/>
    <n v="104.44375429999999"/>
    <n v="112.7790001"/>
    <n v="121.11424599999999"/>
    <x v="304"/>
    <x v="337"/>
    <s v="Decreasing"/>
  </r>
  <r>
    <x v="338"/>
    <x v="8"/>
    <x v="2"/>
    <n v="110.230003"/>
    <n v="112.339996"/>
    <n v="109.129997"/>
    <n v="112.339996"/>
    <n v="61888800"/>
    <n v="108.954138"/>
    <n v="104.29740320000001"/>
    <n v="112.5934999"/>
    <n v="120.8895966"/>
    <x v="305"/>
    <x v="338"/>
    <s v="Increasing"/>
  </r>
  <r>
    <x v="339"/>
    <x v="8"/>
    <x v="2"/>
    <n v="112.489998"/>
    <n v="112.779999"/>
    <n v="110.040001"/>
    <n v="110.370003"/>
    <n v="53233900"/>
    <n v="107.043519"/>
    <n v="104.1557511"/>
    <n v="112.3841666"/>
    <n v="120.6125821"/>
    <x v="306"/>
    <x v="339"/>
    <s v="Decreasing"/>
  </r>
  <r>
    <x v="340"/>
    <x v="8"/>
    <x v="2"/>
    <n v="108.970001"/>
    <n v="110.449997"/>
    <n v="108.510002"/>
    <n v="109.269997"/>
    <n v="49996300"/>
    <n v="105.97666599999999"/>
    <n v="103.8818508"/>
    <n v="112.0835"/>
    <n v="120.2851491"/>
    <x v="307"/>
    <x v="340"/>
    <s v="Increasing"/>
  </r>
  <r>
    <x v="341"/>
    <x v="8"/>
    <x v="2"/>
    <n v="111.75"/>
    <n v="112.55999799999999"/>
    <n v="110.32"/>
    <n v="112.30999799999999"/>
    <n v="54843600"/>
    <n v="108.925043"/>
    <n v="104.1221378"/>
    <n v="111.7326666"/>
    <n v="119.3431954"/>
    <x v="308"/>
    <x v="341"/>
    <s v="Increasing"/>
  </r>
  <r>
    <x v="342"/>
    <x v="8"/>
    <x v="2"/>
    <n v="113.760002"/>
    <n v="114.019997"/>
    <n v="109.769997"/>
    <n v="110.150002"/>
    <n v="85010800"/>
    <n v="106.83014799999999"/>
    <n v="104.0861412"/>
    <n v="111.5483332"/>
    <n v="119.0105251"/>
    <x v="309"/>
    <x v="342"/>
    <s v="Decreasing"/>
  </r>
  <r>
    <x v="343"/>
    <x v="8"/>
    <x v="2"/>
    <n v="110.269997"/>
    <n v="113.279999"/>
    <n v="109.900002"/>
    <n v="112.57"/>
    <n v="62892800"/>
    <n v="109.177209"/>
    <n v="104.05778909999999"/>
    <n v="111.4726667"/>
    <n v="118.88754419999999"/>
    <x v="310"/>
    <x v="343"/>
    <s v="Increasing"/>
  </r>
  <r>
    <x v="344"/>
    <x v="8"/>
    <x v="2"/>
    <n v="111.790001"/>
    <n v="114.209999"/>
    <n v="111.760002"/>
    <n v="114.209999"/>
    <n v="49915500"/>
    <n v="110.76778"/>
    <n v="104.11800150000001"/>
    <n v="111.3741666"/>
    <n v="118.63033160000001"/>
    <x v="311"/>
    <x v="344"/>
    <s v="Increasing"/>
  </r>
  <r>
    <x v="345"/>
    <x v="8"/>
    <x v="2"/>
    <n v="116.58000199999999"/>
    <n v="116.889999"/>
    <n v="114.860001"/>
    <n v="115.30999799999999"/>
    <n v="58363400"/>
    <n v="111.834625"/>
    <n v="104.1011364"/>
    <n v="111.3871666"/>
    <n v="118.67319670000001"/>
    <x v="312"/>
    <x v="345"/>
    <s v="Decreasing"/>
  </r>
  <r>
    <x v="346"/>
    <x v="8"/>
    <x v="2"/>
    <n v="115.93"/>
    <n v="116.529999"/>
    <n v="114.41999800000001"/>
    <n v="116.279999"/>
    <n v="43341200"/>
    <n v="112.775391"/>
    <n v="104.18908930000001"/>
    <n v="111.3358331"/>
    <n v="118.4825768"/>
    <x v="19"/>
    <x v="346"/>
    <s v="Increasing"/>
  </r>
  <r>
    <x v="347"/>
    <x v="8"/>
    <x v="2"/>
    <n v="116.25"/>
    <n v="116.540001"/>
    <n v="115.44000200000001"/>
    <n v="116.410004"/>
    <n v="37173500"/>
    <n v="112.901478"/>
    <n v="104.23721140000001"/>
    <n v="111.30983310000001"/>
    <n v="118.3824548"/>
    <x v="313"/>
    <x v="347"/>
    <s v="Increasing"/>
  </r>
  <r>
    <x v="348"/>
    <x v="8"/>
    <x v="2"/>
    <n v="115.660004"/>
    <n v="116.489998"/>
    <n v="113.720001"/>
    <n v="113.91999800000001"/>
    <n v="64112600"/>
    <n v="110.486519"/>
    <n v="104.2767346"/>
    <n v="111.2751664"/>
    <n v="118.2735982"/>
    <x v="314"/>
    <x v="348"/>
    <s v="Decreasing"/>
  </r>
  <r>
    <x v="349"/>
    <x v="8"/>
    <x v="2"/>
    <n v="112.209999"/>
    <n v="114.300003"/>
    <n v="111.870003"/>
    <n v="113.449997"/>
    <n v="74285300"/>
    <n v="110.03068399999999"/>
    <n v="104.27667270000001"/>
    <n v="111.29166650000001"/>
    <n v="118.3066603"/>
    <x v="146"/>
    <x v="349"/>
    <s v="Increasing"/>
  </r>
  <r>
    <x v="350"/>
    <x v="8"/>
    <x v="2"/>
    <n v="113.66999800000001"/>
    <n v="115.370003"/>
    <n v="113.660004"/>
    <n v="115.209999"/>
    <n v="50222000"/>
    <n v="111.73764"/>
    <n v="104.666951"/>
    <n v="111.6404998"/>
    <n v="118.6140487"/>
    <x v="315"/>
    <x v="350"/>
    <s v="Increasing"/>
  </r>
  <r>
    <x v="351"/>
    <x v="8"/>
    <x v="2"/>
    <n v="113.379997"/>
    <n v="114.18"/>
    <n v="112.519997"/>
    <n v="113.400002"/>
    <n v="50346200"/>
    <n v="109.982195"/>
    <n v="107.10401880000001"/>
    <n v="112.2434997"/>
    <n v="117.3829807"/>
    <x v="316"/>
    <x v="351"/>
    <s v="Increasing"/>
  </r>
  <r>
    <x v="352"/>
    <x v="8"/>
    <x v="2"/>
    <n v="113.629997"/>
    <n v="114.720001"/>
    <n v="113.300003"/>
    <n v="114.32"/>
    <n v="35756700"/>
    <n v="110.874465"/>
    <n v="108.28828590000001"/>
    <n v="112.64333310000001"/>
    <n v="116.9983804"/>
    <x v="21"/>
    <x v="352"/>
    <s v="Increasing"/>
  </r>
  <r>
    <x v="353"/>
    <x v="8"/>
    <x v="2"/>
    <n v="113.25"/>
    <n v="115.5"/>
    <n v="112.370003"/>
    <n v="115"/>
    <n v="50219500"/>
    <n v="111.53397099999999"/>
    <n v="109.04756519999999"/>
    <n v="112.94733309999999"/>
    <n v="116.84710099999999"/>
    <x v="317"/>
    <x v="353"/>
    <s v="Increasing"/>
  </r>
  <r>
    <x v="354"/>
    <x v="8"/>
    <x v="2"/>
    <n v="116.44000200000001"/>
    <n v="116.69000200000001"/>
    <n v="114.019997"/>
    <n v="114.709999"/>
    <n v="56151900"/>
    <n v="111.25270999999999"/>
    <n v="109.11167039999999"/>
    <n v="113.1013332"/>
    <n v="117.090996"/>
    <x v="318"/>
    <x v="354"/>
    <s v="Decreasing"/>
  </r>
  <r>
    <x v="355"/>
    <x v="8"/>
    <x v="2"/>
    <n v="113.849998"/>
    <n v="114.57"/>
    <n v="112.44000200000001"/>
    <n v="112.44000200000001"/>
    <n v="52109000"/>
    <n v="109.05113"/>
    <n v="109.1374587"/>
    <n v="113.1231666"/>
    <n v="117.1088745"/>
    <x v="143"/>
    <x v="355"/>
    <s v="Decreasing"/>
  </r>
  <r>
    <x v="356"/>
    <x v="8"/>
    <x v="2"/>
    <n v="112.83000199999999"/>
    <n v="113.510002"/>
    <n v="107.860001"/>
    <n v="109.05999799999999"/>
    <n v="73365400"/>
    <n v="105.77299600000001"/>
    <n v="108.7833184"/>
    <n v="112.9754999"/>
    <n v="117.1676815"/>
    <x v="319"/>
    <x v="356"/>
    <s v="Decreasing"/>
  </r>
  <r>
    <x v="357"/>
    <x v="8"/>
    <x v="2"/>
    <n v="110.16999800000001"/>
    <n v="111.540001"/>
    <n v="108.730003"/>
    <n v="110.300003"/>
    <n v="66473000"/>
    <n v="106.975629"/>
    <n v="109.04448309999999"/>
    <n v="113.03566669999999"/>
    <n v="117.0268504"/>
    <x v="320"/>
    <x v="357"/>
    <s v="Increasing"/>
  </r>
  <r>
    <x v="358"/>
    <x v="8"/>
    <x v="0"/>
    <n v="106.139999"/>
    <n v="106.800003"/>
    <n v="105.620003"/>
    <n v="106.730003"/>
    <n v="26701500"/>
    <n v="105.72644099999999"/>
    <n v="105.85440869999999"/>
    <n v="107.97766710000001"/>
    <n v="110.10092539999999"/>
    <x v="298"/>
    <x v="358"/>
    <s v="Increasing"/>
  </r>
  <r>
    <x v="359"/>
    <x v="8"/>
    <x v="0"/>
    <n v="107.699997"/>
    <n v="108"/>
    <n v="106.82"/>
    <n v="107.730003"/>
    <n v="26802500"/>
    <n v="106.717038"/>
    <n v="105.9016386"/>
    <n v="107.9983337"/>
    <n v="110.09502879999999"/>
    <x v="321"/>
    <x v="359"/>
    <s v="Increasing"/>
  </r>
  <r>
    <x v="360"/>
    <x v="8"/>
    <x v="0"/>
    <n v="107.900002"/>
    <n v="108.300003"/>
    <n v="107.510002"/>
    <n v="107.699997"/>
    <n v="26880400"/>
    <n v="106.687314"/>
    <n v="105.8939804"/>
    <n v="107.99183360000001"/>
    <n v="110.0896867"/>
    <x v="322"/>
    <x v="360"/>
    <s v="Decreasing"/>
  </r>
  <r>
    <x v="361"/>
    <x v="8"/>
    <x v="0"/>
    <n v="107.83000199999999"/>
    <n v="108.760002"/>
    <n v="107.07"/>
    <n v="108.360001"/>
    <n v="42364300"/>
    <n v="107.341112"/>
    <n v="105.8851607"/>
    <n v="107.9656669"/>
    <n v="110.0461731"/>
    <x v="323"/>
    <x v="361"/>
    <s v="Increasing"/>
  </r>
  <r>
    <x v="362"/>
    <x v="8"/>
    <x v="0"/>
    <n v="107.25"/>
    <n v="107.269997"/>
    <n v="105.239998"/>
    <n v="105.519997"/>
    <n v="53002000"/>
    <n v="104.527812"/>
    <n v="105.6120313"/>
    <n v="107.8551667"/>
    <n v="110.0983021"/>
    <x v="324"/>
    <x v="362"/>
    <s v="Decreasing"/>
  </r>
  <r>
    <x v="363"/>
    <x v="8"/>
    <x v="0"/>
    <n v="104.639999"/>
    <n v="105.720001"/>
    <n v="103.129997"/>
    <n v="103.129997"/>
    <n v="46557000"/>
    <n v="102.160285"/>
    <n v="104.8492134"/>
    <n v="107.643"/>
    <n v="110.4367865"/>
    <x v="325"/>
    <x v="363"/>
    <s v="Decreasing"/>
  </r>
  <r>
    <x v="364"/>
    <x v="8"/>
    <x v="0"/>
    <n v="102.650002"/>
    <n v="105.720001"/>
    <n v="102.529999"/>
    <n v="105.44000200000001"/>
    <n v="45292800"/>
    <n v="104.44857"/>
    <n v="104.3779846"/>
    <n v="107.4645"/>
    <n v="110.5510154"/>
    <x v="326"/>
    <x v="364"/>
    <s v="Increasing"/>
  </r>
  <r>
    <x v="365"/>
    <x v="8"/>
    <x v="0"/>
    <n v="107.510002"/>
    <n v="108.790001"/>
    <n v="107.239998"/>
    <n v="107.949997"/>
    <n v="62176200"/>
    <n v="106.934963"/>
    <n v="104.39928810000001"/>
    <n v="107.41249980000001"/>
    <n v="110.4257116"/>
    <x v="327"/>
    <x v="365"/>
    <s v="Increasing"/>
  </r>
  <r>
    <x v="366"/>
    <x v="8"/>
    <x v="0"/>
    <n v="108.730003"/>
    <n v="113.029999"/>
    <n v="108.599998"/>
    <n v="111.769997"/>
    <n v="110888700"/>
    <n v="110.719044"/>
    <n v="104.19305060000001"/>
    <n v="107.48883309999999"/>
    <n v="110.7846156"/>
    <x v="328"/>
    <x v="366"/>
    <s v="Increasing"/>
  </r>
  <r>
    <x v="367"/>
    <x v="8"/>
    <x v="0"/>
    <n v="113.860001"/>
    <n v="115.730003"/>
    <n v="113.489998"/>
    <n v="115.57"/>
    <n v="89983600"/>
    <n v="114.483317"/>
    <n v="103.18875850000001"/>
    <n v="107.7864998"/>
    <n v="112.384241"/>
    <x v="329"/>
    <x v="367"/>
    <s v="Increasing"/>
  </r>
  <r>
    <x v="368"/>
    <x v="8"/>
    <x v="0"/>
    <n v="115.120003"/>
    <n v="116.129997"/>
    <n v="114.040001"/>
    <n v="114.91999800000001"/>
    <n v="79886900"/>
    <n v="113.839427"/>
    <n v="102.5195173"/>
    <n v="108.0763331"/>
    <n v="113.63314889999999"/>
    <x v="330"/>
    <x v="368"/>
    <s v="Decreasing"/>
  </r>
  <r>
    <x v="369"/>
    <x v="8"/>
    <x v="0"/>
    <n v="115.19000200000001"/>
    <n v="116.18"/>
    <n v="113.25"/>
    <n v="113.58000199999999"/>
    <n v="47023000"/>
    <n v="112.51203"/>
    <n v="102.1539956"/>
    <n v="108.3363331"/>
    <n v="114.5186705"/>
    <x v="331"/>
    <x v="369"/>
    <s v="Decreasing"/>
  </r>
  <r>
    <x v="370"/>
    <x v="8"/>
    <x v="0"/>
    <n v="113.050003"/>
    <n v="114.120003"/>
    <n v="112.510002"/>
    <n v="113.57"/>
    <n v="34514300"/>
    <n v="112.502122"/>
    <n v="102.016673"/>
    <n v="108.58199980000001"/>
    <n v="115.1473266"/>
    <x v="332"/>
    <x v="370"/>
    <s v="Increasing"/>
  </r>
  <r>
    <x v="371"/>
    <x v="8"/>
    <x v="0"/>
    <n v="113.849998"/>
    <n v="113.989998"/>
    <n v="112.44000200000001"/>
    <n v="113.550003"/>
    <n v="36003200"/>
    <n v="112.482314"/>
    <n v="101.9193147"/>
    <n v="108.80333330000001"/>
    <n v="115.6873518"/>
    <x v="333"/>
    <x v="371"/>
    <s v="Decreasing"/>
  </r>
  <r>
    <x v="372"/>
    <x v="8"/>
    <x v="0"/>
    <n v="114.349998"/>
    <n v="114.94000200000001"/>
    <n v="114"/>
    <n v="114.620003"/>
    <n v="31074000"/>
    <n v="113.542252"/>
    <n v="101.81167859999999"/>
    <n v="109.12166670000001"/>
    <n v="116.4316548"/>
    <x v="163"/>
    <x v="372"/>
    <s v="Increasing"/>
  </r>
  <r>
    <x v="373"/>
    <x v="8"/>
    <x v="0"/>
    <n v="114.41999800000001"/>
    <n v="114.790001"/>
    <n v="111.550003"/>
    <n v="112.709999"/>
    <n v="52481200"/>
    <n v="111.65020800000001"/>
    <n v="101.95094709999999"/>
    <n v="109.4036668"/>
    <n v="116.8563865"/>
    <x v="334"/>
    <x v="373"/>
    <s v="Decreasing"/>
  </r>
  <r>
    <x v="374"/>
    <x v="8"/>
    <x v="0"/>
    <n v="111.639999"/>
    <n v="113.389999"/>
    <n v="111.550003"/>
    <n v="112.879997"/>
    <n v="29869400"/>
    <n v="111.818608"/>
    <n v="102.18429159999999"/>
    <n v="109.6806668"/>
    <n v="117.17704209999999"/>
    <x v="146"/>
    <x v="374"/>
    <s v="Increasing"/>
  </r>
  <r>
    <x v="375"/>
    <x v="8"/>
    <x v="0"/>
    <n v="113"/>
    <n v="113.18"/>
    <n v="112.339996"/>
    <n v="113.089996"/>
    <n v="24607400"/>
    <n v="112.02663200000001"/>
    <n v="102.4806621"/>
    <n v="109.98166670000001"/>
    <n v="117.4826712"/>
    <x v="92"/>
    <x v="375"/>
    <s v="Increasing"/>
  </r>
  <r>
    <x v="376"/>
    <x v="8"/>
    <x v="0"/>
    <n v="113.69000200000001"/>
    <n v="114.639999"/>
    <n v="113.43"/>
    <n v="113.949997"/>
    <n v="29641100"/>
    <n v="112.878547"/>
    <n v="102.9191994"/>
    <n v="110.3819999"/>
    <n v="117.84480050000001"/>
    <x v="335"/>
    <x v="376"/>
    <s v="Increasing"/>
  </r>
  <r>
    <x v="377"/>
    <x v="8"/>
    <x v="0"/>
    <n v="113.160004"/>
    <n v="113.800003"/>
    <n v="111.800003"/>
    <n v="112.18"/>
    <n v="35887000"/>
    <n v="111.125193"/>
    <n v="103.45468700000001"/>
    <n v="110.7065001"/>
    <n v="117.9583131"/>
    <x v="336"/>
    <x v="377"/>
    <s v="Decreasing"/>
  </r>
  <r>
    <x v="378"/>
    <x v="8"/>
    <x v="0"/>
    <n v="112.459999"/>
    <n v="113.370003"/>
    <n v="111.800003"/>
    <n v="113.050003"/>
    <n v="36379100"/>
    <n v="111.987015"/>
    <n v="104.0048036"/>
    <n v="111.0243334"/>
    <n v="118.0438632"/>
    <x v="337"/>
    <x v="378"/>
    <s v="Increasing"/>
  </r>
  <r>
    <x v="379"/>
    <x v="9"/>
    <x v="2"/>
    <n v="109.07"/>
    <n v="109.620003"/>
    <n v="107.30999799999999"/>
    <n v="109.58000199999999"/>
    <n v="63929100"/>
    <n v="106.277328"/>
    <n v="108.5812026"/>
    <n v="112.9140003"/>
    <n v="117.246798"/>
    <x v="338"/>
    <x v="379"/>
    <s v="Increasing"/>
  </r>
  <r>
    <x v="380"/>
    <x v="9"/>
    <x v="2"/>
    <n v="108.010002"/>
    <n v="111.010002"/>
    <n v="107.550003"/>
    <n v="110.379997"/>
    <n v="58019800"/>
    <n v="107.053212"/>
    <n v="108.3483737"/>
    <n v="112.84316699999999"/>
    <n v="117.3379602"/>
    <x v="339"/>
    <x v="380"/>
    <s v="Increasing"/>
  </r>
  <r>
    <x v="381"/>
    <x v="9"/>
    <x v="2"/>
    <n v="109.879997"/>
    <n v="111.370003"/>
    <n v="109.07"/>
    <n v="110.779999"/>
    <n v="52064700"/>
    <n v="107.441158"/>
    <n v="108.5314398"/>
    <n v="112.89300040000001"/>
    <n v="117.2545609"/>
    <x v="340"/>
    <x v="381"/>
    <s v="Increasing"/>
  </r>
  <r>
    <x v="382"/>
    <x v="9"/>
    <x v="2"/>
    <n v="110.629997"/>
    <n v="111.739998"/>
    <n v="109.769997"/>
    <n v="111.30999799999999"/>
    <n v="48196800"/>
    <n v="107.95518300000001"/>
    <n v="108.4365671"/>
    <n v="112.85350029999999"/>
    <n v="117.2704335"/>
    <x v="341"/>
    <x v="382"/>
    <s v="Increasing"/>
  </r>
  <r>
    <x v="383"/>
    <x v="9"/>
    <x v="2"/>
    <n v="111.739998"/>
    <n v="111.769997"/>
    <n v="109.410004"/>
    <n v="110.779999"/>
    <n v="46765600"/>
    <n v="107.441158"/>
    <n v="108.3485136"/>
    <n v="112.8205004"/>
    <n v="117.2924872"/>
    <x v="228"/>
    <x v="383"/>
    <s v="Decreasing"/>
  </r>
  <r>
    <x v="384"/>
    <x v="9"/>
    <x v="2"/>
    <n v="110.19000200000001"/>
    <n v="110.19000200000001"/>
    <n v="108.209999"/>
    <n v="109.5"/>
    <n v="61979600"/>
    <n v="106.199737"/>
    <n v="107.9731432"/>
    <n v="112.68966709999999"/>
    <n v="117.40619100000001"/>
    <x v="342"/>
    <x v="384"/>
    <s v="Decreasing"/>
  </r>
  <r>
    <x v="385"/>
    <x v="9"/>
    <x v="2"/>
    <n v="110"/>
    <n v="112.279999"/>
    <n v="109.489998"/>
    <n v="112.120003"/>
    <n v="52766100"/>
    <n v="108.740775"/>
    <n v="107.8423978"/>
    <n v="112.5848337"/>
    <n v="117.3272697"/>
    <x v="343"/>
    <x v="385"/>
    <s v="Increasing"/>
  </r>
  <r>
    <x v="386"/>
    <x v="9"/>
    <x v="2"/>
    <n v="112.730003"/>
    <n v="112.75"/>
    <n v="111.44000200000001"/>
    <n v="111.599998"/>
    <n v="30467200"/>
    <n v="108.23644299999999"/>
    <n v="107.8680865"/>
    <n v="112.3970004"/>
    <n v="116.9259144"/>
    <x v="344"/>
    <x v="386"/>
    <s v="Decreasing"/>
  </r>
  <r>
    <x v="387"/>
    <x v="9"/>
    <x v="2"/>
    <n v="110.82"/>
    <n v="112.449997"/>
    <n v="110.68"/>
    <n v="111.790001"/>
    <n v="33049300"/>
    <n v="108.42071900000001"/>
    <n v="107.92361270000001"/>
    <n v="112.1918338"/>
    <n v="116.4600549"/>
    <x v="345"/>
    <x v="387"/>
    <s v="Increasing"/>
  </r>
  <r>
    <x v="388"/>
    <x v="9"/>
    <x v="2"/>
    <n v="111.290001"/>
    <n v="111.519997"/>
    <n v="109.55999799999999"/>
    <n v="110.209999"/>
    <n v="44462400"/>
    <n v="106.88833700000001"/>
    <n v="107.9810483"/>
    <n v="111.9068336"/>
    <n v="115.83261880000001"/>
    <x v="346"/>
    <x v="388"/>
    <s v="Decreasing"/>
  </r>
  <r>
    <x v="389"/>
    <x v="9"/>
    <x v="2"/>
    <n v="110.93"/>
    <n v="112.099998"/>
    <n v="110.489998"/>
    <n v="111.860001"/>
    <n v="37673500"/>
    <n v="108.488609"/>
    <n v="108.0344358"/>
    <n v="111.7455003"/>
    <n v="115.4565647"/>
    <x v="347"/>
    <x v="389"/>
    <s v="Increasing"/>
  </r>
  <r>
    <x v="390"/>
    <x v="9"/>
    <x v="2"/>
    <n v="111.779999"/>
    <n v="112"/>
    <n v="110.529999"/>
    <n v="111.040001"/>
    <n v="39232600"/>
    <n v="107.69332300000001"/>
    <n v="107.9887068"/>
    <n v="111.6446669"/>
    <n v="115.3006269"/>
    <x v="348"/>
    <x v="390"/>
    <s v="Decreasing"/>
  </r>
  <r>
    <x v="391"/>
    <x v="9"/>
    <x v="2"/>
    <n v="110.800003"/>
    <n v="111.75"/>
    <n v="110.110001"/>
    <n v="111.730003"/>
    <n v="29759200"/>
    <n v="108.36253000000001"/>
    <n v="108.09734829999999"/>
    <n v="111.4671668"/>
    <n v="114.83698529999999"/>
    <x v="349"/>
    <x v="391"/>
    <s v="Increasing"/>
  </r>
  <r>
    <x v="392"/>
    <x v="9"/>
    <x v="2"/>
    <n v="111.339996"/>
    <n v="114.16999800000001"/>
    <n v="110.82"/>
    <n v="113.769997"/>
    <n v="48778800"/>
    <n v="110.34103899999999"/>
    <n v="108.12004690000001"/>
    <n v="111.44483339999999"/>
    <n v="114.76962"/>
    <x v="350"/>
    <x v="392"/>
    <s v="Increasing"/>
  </r>
  <r>
    <x v="393"/>
    <x v="9"/>
    <x v="2"/>
    <n v="114"/>
    <n v="115.58000199999999"/>
    <n v="113.699997"/>
    <n v="113.760002"/>
    <n v="41795200"/>
    <n v="110.331345"/>
    <n v="108.0929292"/>
    <n v="111.4565001"/>
    <n v="114.8200709"/>
    <x v="351"/>
    <x v="393"/>
    <s v="Decreasing"/>
  </r>
  <r>
    <x v="394"/>
    <x v="9"/>
    <x v="2"/>
    <n v="114.33000199999999"/>
    <n v="115.5"/>
    <n v="114.099998"/>
    <n v="115.5"/>
    <n v="41654100"/>
    <n v="112.018901"/>
    <n v="107.99208350000001"/>
    <n v="111.4936666"/>
    <n v="114.9952498"/>
    <x v="352"/>
    <x v="394"/>
    <s v="Increasing"/>
  </r>
  <r>
    <x v="395"/>
    <x v="9"/>
    <x v="2"/>
    <n v="116.699997"/>
    <n v="119.230003"/>
    <n v="116.33000199999999"/>
    <n v="119.08000199999999"/>
    <n v="59366900"/>
    <n v="115.491004"/>
    <n v="107.341724"/>
    <n v="111.6473335"/>
    <n v="115.9529429"/>
    <x v="353"/>
    <x v="395"/>
    <s v="Increasing"/>
  </r>
  <r>
    <x v="396"/>
    <x v="9"/>
    <x v="2"/>
    <n v="118.08000199999999"/>
    <n v="118.129997"/>
    <n v="114.91999800000001"/>
    <n v="115.279999"/>
    <n v="66333800"/>
    <n v="111.80553"/>
    <n v="107.1068229"/>
    <n v="111.7953333"/>
    <n v="116.48384369999999"/>
    <x v="354"/>
    <x v="396"/>
    <s v="Decreasing"/>
  </r>
  <r>
    <x v="397"/>
    <x v="9"/>
    <x v="2"/>
    <n v="115.400002"/>
    <n v="116.540001"/>
    <n v="113.989998"/>
    <n v="114.550003"/>
    <n v="69884400"/>
    <n v="111.09753600000001"/>
    <n v="107.2139281"/>
    <n v="112.0395"/>
    <n v="116.8650718"/>
    <x v="355"/>
    <x v="397"/>
    <s v="Decreasing"/>
  </r>
  <r>
    <x v="398"/>
    <x v="9"/>
    <x v="2"/>
    <n v="116.93"/>
    <n v="119.300003"/>
    <n v="116.05999799999999"/>
    <n v="119.269997"/>
    <n v="85551400"/>
    <n v="115.67527200000001"/>
    <n v="107.0023178"/>
    <n v="112.4404998"/>
    <n v="117.8786819"/>
    <x v="356"/>
    <x v="398"/>
    <s v="Increasing"/>
  </r>
  <r>
    <x v="399"/>
    <x v="9"/>
    <x v="2"/>
    <n v="118.699997"/>
    <n v="120.69000200000001"/>
    <n v="118.269997"/>
    <n v="120.529999"/>
    <n v="51227300"/>
    <n v="116.897299"/>
    <n v="106.9330458"/>
    <n v="112.99016640000001"/>
    <n v="119.047287"/>
    <x v="357"/>
    <x v="399"/>
    <s v="Increasing"/>
  </r>
  <r>
    <x v="400"/>
    <x v="9"/>
    <x v="2"/>
    <n v="120.989998"/>
    <n v="121.220001"/>
    <n v="119.449997"/>
    <n v="119.5"/>
    <n v="49365300"/>
    <n v="115.898343"/>
    <n v="106.9261151"/>
    <n v="113.5106663"/>
    <n v="120.0952176"/>
    <x v="358"/>
    <x v="400"/>
    <s v="Decreasing"/>
  </r>
  <r>
    <x v="401"/>
    <x v="9"/>
    <x v="0"/>
    <n v="112.709999"/>
    <n v="113.050003"/>
    <n v="112.279999"/>
    <n v="112.519997"/>
    <n v="21701800"/>
    <n v="111.461992"/>
    <n v="104.4192999"/>
    <n v="111.2793333"/>
    <n v="118.1393668"/>
    <x v="359"/>
    <x v="401"/>
    <s v="Decreasing"/>
  </r>
  <r>
    <x v="402"/>
    <x v="9"/>
    <x v="0"/>
    <n v="113.05999799999999"/>
    <n v="114.30999799999999"/>
    <n v="112.629997"/>
    <n v="113"/>
    <n v="29736800"/>
    <n v="111.937482"/>
    <n v="104.8287959"/>
    <n v="111.5531666"/>
    <n v="118.2775372"/>
    <x v="360"/>
    <x v="402"/>
    <s v="Decreasing"/>
  </r>
  <r>
    <x v="403"/>
    <x v="9"/>
    <x v="0"/>
    <n v="113.400002"/>
    <n v="113.660004"/>
    <n v="112.69000200000001"/>
    <n v="113.050003"/>
    <n v="21453100"/>
    <n v="111.987015"/>
    <n v="105.2474203"/>
    <n v="111.80666669999999"/>
    <n v="118.36591300000001"/>
    <x v="299"/>
    <x v="403"/>
    <s v="Decreasing"/>
  </r>
  <r>
    <x v="404"/>
    <x v="9"/>
    <x v="0"/>
    <n v="113.699997"/>
    <n v="114.339996"/>
    <n v="113.129997"/>
    <n v="113.889999"/>
    <n v="28779300"/>
    <n v="112.819113"/>
    <n v="106.1554048"/>
    <n v="112.1955"/>
    <n v="118.23559520000001"/>
    <x v="256"/>
    <x v="404"/>
    <s v="Increasing"/>
  </r>
  <r>
    <x v="405"/>
    <x v="9"/>
    <x v="0"/>
    <n v="114.30999799999999"/>
    <n v="114.55999799999999"/>
    <n v="113.510002"/>
    <n v="114.05999799999999"/>
    <n v="24358400"/>
    <n v="112.98751300000001"/>
    <n v="107.9334949"/>
    <n v="112.69799999999999"/>
    <n v="117.4625052"/>
    <x v="122"/>
    <x v="405"/>
    <s v="Decreasing"/>
  </r>
  <r>
    <x v="406"/>
    <x v="9"/>
    <x v="0"/>
    <n v="115.019997"/>
    <n v="116.75"/>
    <n v="114.720001"/>
    <n v="116.050003"/>
    <n v="36236000"/>
    <n v="114.95880699999999"/>
    <n v="110.0729851"/>
    <n v="113.2618334"/>
    <n v="116.4506817"/>
    <x v="361"/>
    <x v="406"/>
    <s v="Increasing"/>
  </r>
  <r>
    <x v="407"/>
    <x v="9"/>
    <x v="0"/>
    <n v="117.699997"/>
    <n v="118.69000200000001"/>
    <n v="116.199997"/>
    <n v="116.300003"/>
    <n v="64041000"/>
    <n v="115.206456"/>
    <n v="111.1298038"/>
    <n v="113.7153335"/>
    <n v="116.30086319999999"/>
    <x v="362"/>
    <x v="407"/>
    <s v="Decreasing"/>
  </r>
  <r>
    <x v="408"/>
    <x v="9"/>
    <x v="0"/>
    <n v="117.349998"/>
    <n v="117.980003"/>
    <n v="116.75"/>
    <n v="117.339996"/>
    <n v="37586800"/>
    <n v="116.23667"/>
    <n v="111.2667577"/>
    <n v="114.0265003"/>
    <n v="116.7862428"/>
    <x v="29"/>
    <x v="408"/>
    <s v="Decreasing"/>
  </r>
  <r>
    <x v="409"/>
    <x v="9"/>
    <x v="0"/>
    <n v="116.790001"/>
    <n v="117.44000200000001"/>
    <n v="115.720001"/>
    <n v="116.980003"/>
    <n v="35192400"/>
    <n v="115.880062"/>
    <n v="111.1382638"/>
    <n v="114.115667"/>
    <n v="117.0930702"/>
    <x v="363"/>
    <x v="409"/>
    <s v="Increasing"/>
  </r>
  <r>
    <x v="410"/>
    <x v="9"/>
    <x v="0"/>
    <n v="117.879997"/>
    <n v="118.16999800000001"/>
    <n v="117.129997"/>
    <n v="117.629997"/>
    <n v="35652200"/>
    <n v="116.523945"/>
    <n v="110.9119196"/>
    <n v="114.2463336"/>
    <n v="117.5807476"/>
    <x v="122"/>
    <x v="410"/>
    <s v="Decreasing"/>
  </r>
  <r>
    <x v="411"/>
    <x v="9"/>
    <x v="0"/>
    <n v="117.33000199999999"/>
    <n v="117.839996"/>
    <n v="116.779999"/>
    <n v="117.550003"/>
    <n v="23624900"/>
    <n v="116.444703"/>
    <n v="110.7934513"/>
    <n v="114.3990002"/>
    <n v="118.00454910000001"/>
    <x v="364"/>
    <x v="411"/>
    <s v="Increasing"/>
  </r>
  <r>
    <x v="412"/>
    <x v="9"/>
    <x v="0"/>
    <n v="118.18"/>
    <n v="118.209999"/>
    <n v="117.449997"/>
    <n v="117.470001"/>
    <n v="24553500"/>
    <n v="116.365453"/>
    <n v="110.76649209999999"/>
    <n v="114.6145001"/>
    <n v="118.462508"/>
    <x v="365"/>
    <x v="412"/>
    <s v="Decreasing"/>
  </r>
  <r>
    <x v="413"/>
    <x v="9"/>
    <x v="0"/>
    <n v="117.25"/>
    <n v="117.760002"/>
    <n v="113.800003"/>
    <n v="117.120003"/>
    <n v="20034600"/>
    <n v="116.018745"/>
    <n v="110.8980004"/>
    <n v="114.75950020000001"/>
    <n v="118.6209999"/>
    <x v="366"/>
    <x v="413"/>
    <s v="Decreasing"/>
  </r>
  <r>
    <x v="414"/>
    <x v="9"/>
    <x v="0"/>
    <n v="116.860001"/>
    <n v="117.379997"/>
    <n v="116.33000199999999"/>
    <n v="117.05999799999999"/>
    <n v="24125800"/>
    <n v="115.959304"/>
    <n v="110.90746540000001"/>
    <n v="114.8796667"/>
    <n v="118.8518679"/>
    <x v="303"/>
    <x v="414"/>
    <s v="Increasing"/>
  </r>
  <r>
    <x v="415"/>
    <x v="9"/>
    <x v="0"/>
    <n v="116.80999799999999"/>
    <n v="116.910004"/>
    <n v="116.279999"/>
    <n v="116.599998"/>
    <n v="23192700"/>
    <n v="115.503631"/>
    <n v="111.11586509999999"/>
    <n v="115.0586667"/>
    <n v="119.00146820000001"/>
    <x v="367"/>
    <x v="415"/>
    <s v="Decreasing"/>
  </r>
  <r>
    <x v="416"/>
    <x v="9"/>
    <x v="0"/>
    <n v="117.099998"/>
    <n v="117.739998"/>
    <n v="117"/>
    <n v="117.650002"/>
    <n v="23538700"/>
    <n v="116.543761"/>
    <n v="111.3946042"/>
    <n v="115.3015"/>
    <n v="119.20839580000001"/>
    <x v="368"/>
    <x v="416"/>
    <s v="Increasing"/>
  </r>
  <r>
    <x v="417"/>
    <x v="9"/>
    <x v="0"/>
    <n v="117.949997"/>
    <n v="118.360001"/>
    <n v="117.30999799999999"/>
    <n v="118.25"/>
    <n v="48129000"/>
    <n v="117.13811800000001"/>
    <n v="111.6517095"/>
    <n v="115.5566668"/>
    <n v="119.46162409999999"/>
    <x v="369"/>
    <x v="417"/>
    <s v="Increasing"/>
  </r>
  <r>
    <x v="418"/>
    <x v="9"/>
    <x v="0"/>
    <n v="114.30999799999999"/>
    <n v="115.699997"/>
    <n v="113.30999799999999"/>
    <n v="115.589996"/>
    <n v="66134200"/>
    <n v="114.503125"/>
    <n v="111.7453165"/>
    <n v="115.5996667"/>
    <n v="119.4540169"/>
    <x v="370"/>
    <x v="418"/>
    <s v="Increasing"/>
  </r>
  <r>
    <x v="419"/>
    <x v="9"/>
    <x v="0"/>
    <n v="115.389999"/>
    <n v="115.860001"/>
    <n v="114.099998"/>
    <n v="114.480003"/>
    <n v="34562000"/>
    <n v="113.403569"/>
    <n v="112.0881275"/>
    <n v="115.7106666"/>
    <n v="119.3332058"/>
    <x v="371"/>
    <x v="419"/>
    <s v="Decreasing"/>
  </r>
  <r>
    <x v="420"/>
    <x v="9"/>
    <x v="0"/>
    <n v="113.870003"/>
    <n v="115.209999"/>
    <n v="113.449997"/>
    <n v="113.720001"/>
    <n v="37861700"/>
    <n v="112.650713"/>
    <n v="112.3390108"/>
    <n v="115.7799998"/>
    <n v="119.22098870000001"/>
    <x v="372"/>
    <x v="420"/>
    <s v="Decreasing"/>
  </r>
  <r>
    <x v="421"/>
    <x v="9"/>
    <x v="0"/>
    <n v="113.650002"/>
    <n v="114.230003"/>
    <n v="113.199997"/>
    <n v="113.540001"/>
    <n v="26419400"/>
    <n v="112.47240600000001"/>
    <n v="112.55633779999999"/>
    <n v="115.83199980000001"/>
    <n v="119.1076618"/>
    <x v="128"/>
    <x v="421"/>
    <s v="Decreasing"/>
  </r>
  <r>
    <x v="422"/>
    <x v="10"/>
    <x v="2"/>
    <n v="120.800003"/>
    <n v="121.360001"/>
    <n v="119.610001"/>
    <n v="121.18"/>
    <n v="32203300"/>
    <n v="117.527709"/>
    <n v="106.9021448"/>
    <n v="114.0261663"/>
    <n v="121.15018790000001"/>
    <x v="30"/>
    <x v="422"/>
    <s v="Increasing"/>
  </r>
  <r>
    <x v="423"/>
    <x v="10"/>
    <x v="2"/>
    <n v="120.790001"/>
    <n v="123.489998"/>
    <n v="120.699997"/>
    <n v="122.57"/>
    <n v="45519000"/>
    <n v="118.875815"/>
    <n v="106.77491999999999"/>
    <n v="114.59183299999999"/>
    <n v="122.4087461"/>
    <x v="373"/>
    <x v="423"/>
    <s v="Increasing"/>
  </r>
  <r>
    <x v="424"/>
    <x v="10"/>
    <x v="2"/>
    <n v="123.129997"/>
    <n v="123.82"/>
    <n v="121.620003"/>
    <n v="122"/>
    <n v="44886100"/>
    <n v="118.32299500000001"/>
    <n v="106.8736711"/>
    <n v="115.1831664"/>
    <n v="123.4926617"/>
    <x v="374"/>
    <x v="424"/>
    <s v="Decreasing"/>
  </r>
  <r>
    <x v="425"/>
    <x v="10"/>
    <x v="2"/>
    <n v="121.849998"/>
    <n v="122.69000200000001"/>
    <n v="120.18"/>
    <n v="120.91999800000001"/>
    <n v="39552700"/>
    <n v="117.777553"/>
    <n v="107.5297965"/>
    <n v="115.7813331"/>
    <n v="124.0328696"/>
    <x v="215"/>
    <x v="425"/>
    <s v="Decreasing"/>
  </r>
  <r>
    <x v="426"/>
    <x v="10"/>
    <x v="2"/>
    <n v="121.110001"/>
    <n v="121.80999799999999"/>
    <n v="120.620003"/>
    <n v="121.05999799999999"/>
    <n v="33042300"/>
    <n v="117.91391400000001"/>
    <n v="107.9749626"/>
    <n v="116.2746664"/>
    <n v="124.5743702"/>
    <x v="375"/>
    <x v="426"/>
    <s v="Decreasing"/>
  </r>
  <r>
    <x v="427"/>
    <x v="10"/>
    <x v="2"/>
    <n v="120.959999"/>
    <n v="121.80999799999999"/>
    <n v="120.050003"/>
    <n v="120.57"/>
    <n v="33871400"/>
    <n v="117.43665"/>
    <n v="108.4461115"/>
    <n v="116.7186664"/>
    <n v="124.99122130000001"/>
    <x v="376"/>
    <x v="427"/>
    <s v="Decreasing"/>
  </r>
  <r>
    <x v="428"/>
    <x v="10"/>
    <x v="2"/>
    <n v="116.900002"/>
    <n v="118.07"/>
    <n v="116.05999799999999"/>
    <n v="116.769997"/>
    <n v="59127900"/>
    <n v="113.735401"/>
    <n v="109.0474207"/>
    <n v="116.9849997"/>
    <n v="124.92257859999999"/>
    <x v="377"/>
    <x v="428"/>
    <s v="Decreasing"/>
  </r>
  <r>
    <x v="429"/>
    <x v="10"/>
    <x v="2"/>
    <n v="116.370003"/>
    <n v="117.41999800000001"/>
    <n v="115.209999"/>
    <n v="116.110001"/>
    <n v="45218000"/>
    <n v="113.092557"/>
    <n v="109.91497440000001"/>
    <n v="117.2758331"/>
    <n v="124.63669179999999"/>
    <x v="378"/>
    <x v="429"/>
    <s v="Decreasing"/>
  </r>
  <r>
    <x v="430"/>
    <x v="10"/>
    <x v="2"/>
    <n v="116.260002"/>
    <n v="116.82"/>
    <n v="115.650002"/>
    <n v="115.720001"/>
    <n v="32525600"/>
    <n v="112.712693"/>
    <n v="110.608755"/>
    <n v="117.50483319999999"/>
    <n v="124.4009114"/>
    <x v="258"/>
    <x v="430"/>
    <s v="Decreasing"/>
  </r>
  <r>
    <x v="431"/>
    <x v="10"/>
    <x v="2"/>
    <n v="115.199997"/>
    <n v="115.57"/>
    <n v="112.269997"/>
    <n v="112.339996"/>
    <n v="45812400"/>
    <n v="109.42052700000001"/>
    <n v="111.0642124"/>
    <n v="117.6149997"/>
    <n v="124.1657871"/>
    <x v="379"/>
    <x v="431"/>
    <s v="Decreasing"/>
  </r>
  <r>
    <x v="432"/>
    <x v="10"/>
    <x v="2"/>
    <n v="111.379997"/>
    <n v="114.239998"/>
    <n v="111"/>
    <n v="114.18"/>
    <n v="38106700"/>
    <n v="111.21271299999999"/>
    <n v="111.49596339999999"/>
    <n v="117.71216630000001"/>
    <n v="123.92836920000001"/>
    <x v="380"/>
    <x v="432"/>
    <s v="Increasing"/>
  </r>
  <r>
    <x v="433"/>
    <x v="10"/>
    <x v="2"/>
    <n v="114.91999800000001"/>
    <n v="115.050003"/>
    <n v="113.32"/>
    <n v="113.69000200000001"/>
    <n v="27616900"/>
    <n v="110.735449"/>
    <n v="111.7039561"/>
    <n v="117.7671665"/>
    <n v="123.8303768"/>
    <x v="381"/>
    <x v="433"/>
    <s v="Decreasing"/>
  </r>
  <r>
    <x v="434"/>
    <x v="10"/>
    <x v="2"/>
    <n v="115.760002"/>
    <n v="117.489998"/>
    <n v="115.5"/>
    <n v="117.290001"/>
    <n v="46674700"/>
    <n v="114.241891"/>
    <n v="112.0084461"/>
    <n v="117.88783309999999"/>
    <n v="123.7672201"/>
    <x v="382"/>
    <x v="434"/>
    <s v="Increasing"/>
  </r>
  <r>
    <x v="435"/>
    <x v="10"/>
    <x v="2"/>
    <n v="117.639999"/>
    <n v="119.75"/>
    <n v="116.760002"/>
    <n v="118.779999"/>
    <n v="43295800"/>
    <n v="115.693167"/>
    <n v="112.3234732"/>
    <n v="118.0576665"/>
    <n v="123.7918598"/>
    <x v="383"/>
    <x v="435"/>
    <s v="Increasing"/>
  </r>
  <r>
    <x v="436"/>
    <x v="10"/>
    <x v="2"/>
    <n v="119.199997"/>
    <n v="119.91999800000001"/>
    <n v="118.849998"/>
    <n v="119.300003"/>
    <n v="34287100"/>
    <n v="116.199658"/>
    <n v="112.3528426"/>
    <n v="118.114833"/>
    <n v="123.8768235"/>
    <x v="384"/>
    <x v="436"/>
    <s v="Increasing"/>
  </r>
  <r>
    <x v="437"/>
    <x v="10"/>
    <x v="2"/>
    <n v="119.269997"/>
    <n v="119.730003"/>
    <n v="117.339996"/>
    <n v="117.75"/>
    <n v="32482500"/>
    <n v="114.689936"/>
    <n v="112.5348643"/>
    <n v="118.2229998"/>
    <n v="123.9111353"/>
    <x v="385"/>
    <x v="437"/>
    <s v="Decreasing"/>
  </r>
  <r>
    <x v="438"/>
    <x v="10"/>
    <x v="2"/>
    <n v="117.33000199999999"/>
    <n v="119.349998"/>
    <n v="117.120003"/>
    <n v="118.879997"/>
    <n v="42803200"/>
    <n v="115.790567"/>
    <n v="112.8982869"/>
    <n v="118.3941664"/>
    <n v="123.8900458"/>
    <x v="386"/>
    <x v="438"/>
    <s v="Increasing"/>
  </r>
  <r>
    <x v="439"/>
    <x v="10"/>
    <x v="2"/>
    <n v="119.209999"/>
    <n v="119.230003"/>
    <n v="117.91999800000001"/>
    <n v="118.029999"/>
    <n v="21388300"/>
    <n v="114.962658"/>
    <n v="112.90810140000001"/>
    <n v="118.4033331"/>
    <n v="123.8985648"/>
    <x v="387"/>
    <x v="439"/>
    <s v="Decreasing"/>
  </r>
  <r>
    <x v="440"/>
    <x v="10"/>
    <x v="2"/>
    <n v="118.290001"/>
    <n v="118.410004"/>
    <n v="117.599998"/>
    <n v="117.80999799999999"/>
    <n v="13046400"/>
    <n v="114.748374"/>
    <n v="112.8501052"/>
    <n v="118.3088331"/>
    <n v="123.767561"/>
    <x v="388"/>
    <x v="440"/>
    <s v="Decreasing"/>
  </r>
  <r>
    <x v="441"/>
    <x v="10"/>
    <x v="2"/>
    <n v="117.989998"/>
    <n v="119.410004"/>
    <n v="117.75"/>
    <n v="118.300003"/>
    <n v="39180300"/>
    <n v="115.225646"/>
    <n v="112.8295552"/>
    <n v="118.2303333"/>
    <n v="123.6311113"/>
    <x v="261"/>
    <x v="441"/>
    <s v="Increasing"/>
  </r>
  <r>
    <x v="442"/>
    <x v="10"/>
    <x v="0"/>
    <n v="113.459999"/>
    <n v="113.769997"/>
    <n v="110.529999"/>
    <n v="111.489998"/>
    <n v="43825800"/>
    <n v="110.441678"/>
    <n v="112.22910829999999"/>
    <n v="115.76283309999999"/>
    <n v="119.296558"/>
    <x v="389"/>
    <x v="442"/>
    <s v="Decreasing"/>
  </r>
  <r>
    <x v="443"/>
    <x v="10"/>
    <x v="0"/>
    <n v="111.400002"/>
    <n v="112.349998"/>
    <n v="111.230003"/>
    <n v="111.589996"/>
    <n v="28331700"/>
    <n v="110.54073699999999"/>
    <n v="111.9044585"/>
    <n v="115.6923329"/>
    <n v="119.4802074"/>
    <x v="390"/>
    <x v="443"/>
    <s v="Increasing"/>
  </r>
  <r>
    <x v="444"/>
    <x v="10"/>
    <x v="0"/>
    <n v="110.980003"/>
    <n v="111.459999"/>
    <n v="109.550003"/>
    <n v="109.83000199999999"/>
    <n v="26932600"/>
    <n v="109.35588"/>
    <n v="111.1172978"/>
    <n v="115.51699979999999"/>
    <n v="119.9167018"/>
    <x v="391"/>
    <x v="444"/>
    <s v="Decreasing"/>
  </r>
  <r>
    <x v="445"/>
    <x v="10"/>
    <x v="0"/>
    <n v="108.529999"/>
    <n v="110.25"/>
    <n v="108.110001"/>
    <n v="108.839996"/>
    <n v="30837000"/>
    <n v="108.370149"/>
    <n v="110.07232879999999"/>
    <n v="115.2681664"/>
    <n v="120.4640041"/>
    <x v="392"/>
    <x v="445"/>
    <s v="Increasing"/>
  </r>
  <r>
    <x v="446"/>
    <x v="10"/>
    <x v="0"/>
    <n v="110.08000199999999"/>
    <n v="110.510002"/>
    <n v="109.459999"/>
    <n v="110.410004"/>
    <n v="32560000"/>
    <n v="109.933378"/>
    <n v="109.3352076"/>
    <n v="114.9824998"/>
    <n v="120.6297919"/>
    <x v="393"/>
    <x v="446"/>
    <s v="Increasing"/>
  </r>
  <r>
    <x v="447"/>
    <x v="10"/>
    <x v="0"/>
    <n v="110.30999799999999"/>
    <n v="111.720001"/>
    <n v="109.699997"/>
    <n v="111.05999799999999"/>
    <n v="24054500"/>
    <n v="110.580566"/>
    <n v="108.8319023"/>
    <n v="114.6706664"/>
    <n v="120.5094304"/>
    <x v="394"/>
    <x v="447"/>
    <s v="Increasing"/>
  </r>
  <r>
    <x v="448"/>
    <x v="10"/>
    <x v="0"/>
    <n v="109.879997"/>
    <n v="111.32"/>
    <n v="108.050003"/>
    <n v="110.879997"/>
    <n v="59176400"/>
    <n v="110.401343"/>
    <n v="108.27973179999999"/>
    <n v="114.30699970000001"/>
    <n v="120.3342676"/>
    <x v="395"/>
    <x v="448"/>
    <s v="Increasing"/>
  </r>
  <r>
    <x v="449"/>
    <x v="10"/>
    <x v="0"/>
    <n v="111.089996"/>
    <n v="111.089996"/>
    <n v="105.83000199999999"/>
    <n v="107.790001"/>
    <n v="57134500"/>
    <n v="107.324686"/>
    <n v="107.4162413"/>
    <n v="113.8831663"/>
    <n v="120.35009119999999"/>
    <x v="396"/>
    <x v="449"/>
    <s v="Decreasing"/>
  </r>
  <r>
    <x v="450"/>
    <x v="10"/>
    <x v="0"/>
    <n v="107.120003"/>
    <n v="108.870003"/>
    <n v="106.550003"/>
    <n v="108.43"/>
    <n v="34143900"/>
    <n v="107.961922"/>
    <n v="106.6832759"/>
    <n v="113.3984998"/>
    <n v="120.11372369999999"/>
    <x v="397"/>
    <x v="450"/>
    <s v="Increasing"/>
  </r>
  <r>
    <x v="451"/>
    <x v="10"/>
    <x v="0"/>
    <n v="107.709999"/>
    <n v="107.80999799999999"/>
    <n v="104.08000199999999"/>
    <n v="105.709999"/>
    <n v="51175500"/>
    <n v="105.253663"/>
    <n v="105.6163877"/>
    <n v="112.8223332"/>
    <n v="120.02827859999999"/>
    <x v="398"/>
    <x v="451"/>
    <s v="Decreasing"/>
  </r>
  <r>
    <x v="452"/>
    <x v="10"/>
    <x v="0"/>
    <n v="106.57"/>
    <n v="107.68"/>
    <n v="106.160004"/>
    <n v="107.110001"/>
    <n v="32264500"/>
    <n v="106.647621"/>
    <n v="105.0185409"/>
    <n v="112.286"/>
    <n v="119.553459"/>
    <x v="399"/>
    <x v="452"/>
    <s v="Increasing"/>
  </r>
  <r>
    <x v="453"/>
    <x v="10"/>
    <x v="0"/>
    <n v="106.699997"/>
    <n v="110.230003"/>
    <n v="106.599998"/>
    <n v="109.989998"/>
    <n v="58840500"/>
    <n v="109.515186"/>
    <n v="104.7510059"/>
    <n v="111.9216665"/>
    <n v="119.09232710000001"/>
    <x v="400"/>
    <x v="453"/>
    <s v="Increasing"/>
  </r>
  <r>
    <x v="454"/>
    <x v="10"/>
    <x v="0"/>
    <n v="109.80999799999999"/>
    <n v="110.349998"/>
    <n v="108.83000199999999"/>
    <n v="109.949997"/>
    <n v="27632000"/>
    <n v="109.475358"/>
    <n v="104.71461290000001"/>
    <n v="111.5609998"/>
    <n v="118.4073868"/>
    <x v="2"/>
    <x v="454"/>
    <s v="Increasing"/>
  </r>
  <r>
    <x v="455"/>
    <x v="10"/>
    <x v="0"/>
    <n v="109.720001"/>
    <n v="110.540001"/>
    <n v="109.660004"/>
    <n v="110.05999799999999"/>
    <n v="28428900"/>
    <n v="109.584883"/>
    <n v="104.7692524"/>
    <n v="111.23549989999999"/>
    <n v="117.70174729999999"/>
    <x v="401"/>
    <x v="455"/>
    <s v="Increasing"/>
  </r>
  <r>
    <x v="456"/>
    <x v="10"/>
    <x v="0"/>
    <n v="110.120003"/>
    <n v="111.989998"/>
    <n v="110.010002"/>
    <n v="111.730003"/>
    <n v="29264600"/>
    <n v="111.24768"/>
    <n v="105.1220606"/>
    <n v="110.9244999"/>
    <n v="116.7269392"/>
    <x v="402"/>
    <x v="456"/>
    <s v="Increasing"/>
  </r>
  <r>
    <x v="457"/>
    <x v="10"/>
    <x v="0"/>
    <n v="111.949997"/>
    <n v="112.41999800000001"/>
    <n v="111.400002"/>
    <n v="111.800003"/>
    <n v="25965500"/>
    <n v="111.31737699999999"/>
    <n v="105.7677941"/>
    <n v="110.6195"/>
    <n v="115.4712059"/>
    <x v="403"/>
    <x v="457"/>
    <s v="Decreasing"/>
  </r>
  <r>
    <x v="458"/>
    <x v="10"/>
    <x v="0"/>
    <n v="111.360001"/>
    <n v="111.510002"/>
    <n v="110.33000199999999"/>
    <n v="111.230003"/>
    <n v="27426400"/>
    <n v="110.749838"/>
    <n v="105.97578609999999"/>
    <n v="110.4273336"/>
    <n v="114.8788811"/>
    <x v="404"/>
    <x v="458"/>
    <s v="Decreasing"/>
  </r>
  <r>
    <x v="459"/>
    <x v="10"/>
    <x v="0"/>
    <n v="111.129997"/>
    <n v="111.870003"/>
    <n v="110.949997"/>
    <n v="111.790001"/>
    <n v="11475900"/>
    <n v="111.307418"/>
    <n v="106.2500685"/>
    <n v="110.2635002"/>
    <n v="114.27693189999999"/>
    <x v="405"/>
    <x v="459"/>
    <s v="Increasing"/>
  </r>
  <r>
    <x v="460"/>
    <x v="10"/>
    <x v="0"/>
    <n v="111.43"/>
    <n v="112.470001"/>
    <n v="111.389999"/>
    <n v="111.57"/>
    <n v="27194000"/>
    <n v="111.08836700000001"/>
    <n v="106.4669758"/>
    <n v="110.1476669"/>
    <n v="113.8283581"/>
    <x v="406"/>
    <x v="460"/>
    <s v="Increasing"/>
  </r>
  <r>
    <x v="461"/>
    <x v="10"/>
    <x v="0"/>
    <n v="110.779999"/>
    <n v="112.029999"/>
    <n v="110.07"/>
    <n v="111.459999"/>
    <n v="28528800"/>
    <n v="110.978841"/>
    <n v="106.6715909"/>
    <n v="110.0241669"/>
    <n v="113.3767429"/>
    <x v="407"/>
    <x v="461"/>
    <s v="Increasing"/>
  </r>
  <r>
    <x v="462"/>
    <x v="10"/>
    <x v="0"/>
    <n v="111.599998"/>
    <n v="112.199997"/>
    <n v="110.269997"/>
    <n v="110.519997"/>
    <n v="36162300"/>
    <n v="110.042897"/>
    <n v="106.70736770000001"/>
    <n v="109.97750019999999"/>
    <n v="113.2476326"/>
    <x v="408"/>
    <x v="462"/>
    <s v="Decreasing"/>
  </r>
  <r>
    <x v="463"/>
    <x v="11"/>
    <x v="2"/>
    <n v="118.75"/>
    <n v="118.80999799999999"/>
    <n v="116.860001"/>
    <n v="117.339996"/>
    <n v="34852400"/>
    <n v="114.290588"/>
    <n v="112.795765"/>
    <n v="118.0779998"/>
    <n v="123.3602346"/>
    <x v="409"/>
    <x v="463"/>
    <s v="Decreasing"/>
  </r>
  <r>
    <x v="464"/>
    <x v="11"/>
    <x v="2"/>
    <n v="117.339996"/>
    <n v="118.110001"/>
    <n v="116.08000199999999"/>
    <n v="116.279999"/>
    <n v="33386600"/>
    <n v="113.258137"/>
    <n v="112.863291"/>
    <n v="117.80649990000001"/>
    <n v="122.74970879999999"/>
    <x v="410"/>
    <x v="464"/>
    <s v="Decreasing"/>
  </r>
  <r>
    <x v="465"/>
    <x v="11"/>
    <x v="2"/>
    <n v="116.550003"/>
    <n v="116.790001"/>
    <n v="114.220001"/>
    <n v="115.199997"/>
    <n v="41569500"/>
    <n v="112.206202"/>
    <n v="112.90060750000001"/>
    <n v="117.45266650000001"/>
    <n v="122.00472550000001"/>
    <x v="222"/>
    <x v="465"/>
    <s v="Decreasing"/>
  </r>
  <r>
    <x v="466"/>
    <x v="11"/>
    <x v="2"/>
    <n v="115.290001"/>
    <n v="119.25"/>
    <n v="115.110001"/>
    <n v="119.029999"/>
    <n v="57777000"/>
    <n v="115.936671"/>
    <n v="113.0697614"/>
    <n v="117.2793332"/>
    <n v="121.488905"/>
    <x v="411"/>
    <x v="466"/>
    <s v="Increasing"/>
  </r>
  <r>
    <x v="467"/>
    <x v="11"/>
    <x v="2"/>
    <n v="118.980003"/>
    <n v="119.860001"/>
    <n v="117.80999799999999"/>
    <n v="118.279999"/>
    <n v="32084200"/>
    <n v="115.20616099999999"/>
    <n v="113.2786207"/>
    <n v="117.1536665"/>
    <n v="121.0287123"/>
    <x v="412"/>
    <x v="467"/>
    <s v="Decreasing"/>
  </r>
  <r>
    <x v="468"/>
    <x v="11"/>
    <x v="2"/>
    <n v="117.519997"/>
    <n v="118.599998"/>
    <n v="116.860001"/>
    <n v="118.230003"/>
    <n v="34309500"/>
    <n v="115.157465"/>
    <n v="113.49121719999999"/>
    <n v="117.0079999"/>
    <n v="120.5247825"/>
    <x v="413"/>
    <x v="468"/>
    <s v="Increasing"/>
  </r>
  <r>
    <x v="469"/>
    <x v="11"/>
    <x v="2"/>
    <n v="117.639999"/>
    <n v="117.69000200000001"/>
    <n v="115.08000199999999"/>
    <n v="115.620003"/>
    <n v="46361400"/>
    <n v="112.61529299999999"/>
    <n v="113.42856949999999"/>
    <n v="116.9661667"/>
    <n v="120.5037639"/>
    <x v="414"/>
    <x v="469"/>
    <s v="Decreasing"/>
  </r>
  <r>
    <x v="470"/>
    <x v="11"/>
    <x v="2"/>
    <n v="116.040001"/>
    <n v="116.94000200000001"/>
    <n v="115.510002"/>
    <n v="116.16999800000001"/>
    <n v="29104200"/>
    <n v="113.15099499999999"/>
    <n v="113.42489999999999"/>
    <n v="116.9641668"/>
    <n v="120.50343359999999"/>
    <x v="218"/>
    <x v="470"/>
    <s v="Increasing"/>
  </r>
  <r>
    <x v="471"/>
    <x v="11"/>
    <x v="2"/>
    <n v="115.19000200000001"/>
    <n v="115.389999"/>
    <n v="112.849998"/>
    <n v="113.18"/>
    <n v="46886200"/>
    <n v="110.23870100000001"/>
    <n v="113.06885440000001"/>
    <n v="116.8513334"/>
    <n v="120.6338123"/>
    <x v="415"/>
    <x v="471"/>
    <s v="Decreasing"/>
  </r>
  <r>
    <x v="472"/>
    <x v="11"/>
    <x v="2"/>
    <n v="112.18"/>
    <n v="112.68"/>
    <n v="109.790001"/>
    <n v="112.480003"/>
    <n v="64318700"/>
    <n v="109.556895"/>
    <n v="112.60532449999999"/>
    <n v="116.76416690000001"/>
    <n v="120.9230092"/>
    <x v="221"/>
    <x v="472"/>
    <s v="Increasing"/>
  </r>
  <r>
    <x v="473"/>
    <x v="11"/>
    <x v="2"/>
    <n v="111.94000200000001"/>
    <n v="112.800003"/>
    <n v="110.349998"/>
    <n v="110.489998"/>
    <n v="53323100"/>
    <n v="107.618605"/>
    <n v="112.10775870000001"/>
    <n v="116.66783359999999"/>
    <n v="121.2279084"/>
    <x v="416"/>
    <x v="473"/>
    <s v="Decreasing"/>
  </r>
  <r>
    <x v="474"/>
    <x v="11"/>
    <x v="2"/>
    <n v="111.07"/>
    <n v="111.989998"/>
    <n v="108.800003"/>
    <n v="111.339996"/>
    <n v="56238500"/>
    <n v="108.44651399999999"/>
    <n v="111.3660237"/>
    <n v="116.5023334"/>
    <n v="121.6386431"/>
    <x v="417"/>
    <x v="474"/>
    <s v="Increasing"/>
  </r>
  <r>
    <x v="475"/>
    <x v="11"/>
    <x v="2"/>
    <n v="112.019997"/>
    <n v="112.25"/>
    <n v="108.980003"/>
    <n v="108.980003"/>
    <n v="44772800"/>
    <n v="106.147852"/>
    <n v="110.3201147"/>
    <n v="116.1678335"/>
    <n v="122.0155524"/>
    <x v="418"/>
    <x v="475"/>
    <s v="Decreasing"/>
  </r>
  <r>
    <x v="476"/>
    <x v="11"/>
    <x v="2"/>
    <n v="108.910004"/>
    <n v="109.519997"/>
    <n v="105.80999799999999"/>
    <n v="106.029999"/>
    <n v="96453300"/>
    <n v="103.274512"/>
    <n v="108.6549713"/>
    <n v="115.60233340000001"/>
    <n v="122.5496955"/>
    <x v="419"/>
    <x v="476"/>
    <s v="Decreasing"/>
  </r>
  <r>
    <x v="477"/>
    <x v="11"/>
    <x v="2"/>
    <n v="107.279999"/>
    <n v="107.370003"/>
    <n v="105.57"/>
    <n v="107.33000199999999"/>
    <n v="47590600"/>
    <n v="104.54073099999999"/>
    <n v="107.25816500000001"/>
    <n v="114.9723335"/>
    <n v="122.686502"/>
    <x v="420"/>
    <x v="477"/>
    <s v="Increasing"/>
  </r>
  <r>
    <x v="478"/>
    <x v="11"/>
    <x v="2"/>
    <n v="107.400002"/>
    <n v="107.720001"/>
    <n v="106.449997"/>
    <n v="107.230003"/>
    <n v="32789400"/>
    <n v="104.443331"/>
    <n v="106.1462306"/>
    <n v="114.4153336"/>
    <n v="122.6844365"/>
    <x v="421"/>
    <x v="478"/>
    <s v="Decreasing"/>
  </r>
  <r>
    <x v="479"/>
    <x v="11"/>
    <x v="2"/>
    <n v="107.269997"/>
    <n v="108.849998"/>
    <n v="107.199997"/>
    <n v="108.610001"/>
    <n v="32657400"/>
    <n v="105.787465"/>
    <n v="105.4331627"/>
    <n v="113.9038335"/>
    <n v="122.3745043"/>
    <x v="296"/>
    <x v="479"/>
    <s v="Increasing"/>
  </r>
  <r>
    <x v="480"/>
    <x v="11"/>
    <x v="2"/>
    <n v="109"/>
    <n v="109"/>
    <n v="107.949997"/>
    <n v="108.029999"/>
    <n v="13570400"/>
    <n v="105.22253600000001"/>
    <n v="104.86066839999999"/>
    <n v="113.4005001"/>
    <n v="121.9403318"/>
    <x v="183"/>
    <x v="480"/>
    <s v="Decreasing"/>
  </r>
  <r>
    <x v="481"/>
    <x v="11"/>
    <x v="2"/>
    <n v="107.589996"/>
    <n v="107.69000200000001"/>
    <n v="106.18"/>
    <n v="106.82"/>
    <n v="26704200"/>
    <n v="104.043982"/>
    <n v="104.1277985"/>
    <n v="112.8483335"/>
    <n v="121.5688684"/>
    <x v="422"/>
    <x v="481"/>
    <s v="Decreasing"/>
  </r>
  <r>
    <x v="482"/>
    <x v="11"/>
    <x v="2"/>
    <n v="106.959999"/>
    <n v="109.43"/>
    <n v="106.860001"/>
    <n v="108.739998"/>
    <n v="30931200"/>
    <n v="105.914084"/>
    <n v="103.8135822"/>
    <n v="112.3411667"/>
    <n v="120.86875120000001"/>
    <x v="423"/>
    <x v="482"/>
    <s v="Increasing"/>
  </r>
  <r>
    <x v="483"/>
    <x v="11"/>
    <x v="2"/>
    <n v="108.58000199999999"/>
    <n v="108.699997"/>
    <n v="107.18"/>
    <n v="107.32"/>
    <n v="25213800"/>
    <n v="104.53098900000001"/>
    <n v="103.45985589999999"/>
    <n v="111.8443334"/>
    <n v="120.22881080000001"/>
    <x v="424"/>
    <x v="483"/>
    <s v="Decreasing"/>
  </r>
  <r>
    <x v="484"/>
    <x v="11"/>
    <x v="2"/>
    <n v="107.010002"/>
    <n v="107.029999"/>
    <n v="104.82"/>
    <n v="105.260002"/>
    <n v="40635300"/>
    <n v="102.52452599999999"/>
    <n v="102.8238662"/>
    <n v="111.2883334"/>
    <n v="119.75280050000001"/>
    <x v="10"/>
    <x v="484"/>
    <s v="Decreasing"/>
  </r>
  <r>
    <x v="485"/>
    <x v="11"/>
    <x v="0"/>
    <n v="110.370003"/>
    <n v="110.94000200000001"/>
    <n v="109.029999"/>
    <n v="109.489998"/>
    <n v="37086900"/>
    <n v="109.01734399999999"/>
    <n v="106.7117004"/>
    <n v="109.8823335"/>
    <n v="113.0529667"/>
    <x v="425"/>
    <x v="485"/>
    <s v="Decreasing"/>
  </r>
  <r>
    <x v="486"/>
    <x v="11"/>
    <x v="0"/>
    <n v="109.16999800000001"/>
    <n v="110.089996"/>
    <n v="108.849998"/>
    <n v="109.900002"/>
    <n v="26528000"/>
    <n v="109.425578"/>
    <n v="106.681775"/>
    <n v="109.8490001"/>
    <n v="113.0162251"/>
    <x v="194"/>
    <x v="486"/>
    <s v="Increasing"/>
  </r>
  <r>
    <x v="487"/>
    <x v="11"/>
    <x v="0"/>
    <n v="110"/>
    <n v="110.029999"/>
    <n v="108.25"/>
    <n v="109.110001"/>
    <n v="34324500"/>
    <n v="108.638987"/>
    <n v="106.6879517"/>
    <n v="109.85216680000001"/>
    <n v="113.0163819"/>
    <x v="277"/>
    <x v="487"/>
    <s v="Decreasing"/>
  </r>
  <r>
    <x v="488"/>
    <x v="11"/>
    <x v="0"/>
    <n v="109.5"/>
    <n v="110.360001"/>
    <n v="109.19000200000001"/>
    <n v="109.949997"/>
    <n v="26195500"/>
    <n v="109.475358"/>
    <n v="106.675792"/>
    <n v="109.83750000000001"/>
    <n v="112.9992081"/>
    <x v="426"/>
    <x v="488"/>
    <s v="Increasing"/>
  </r>
  <r>
    <x v="489"/>
    <x v="11"/>
    <x v="0"/>
    <n v="109.260002"/>
    <n v="111.19000200000001"/>
    <n v="109.160004"/>
    <n v="111.029999"/>
    <n v="29998700"/>
    <n v="110.550697"/>
    <n v="106.67641879999999"/>
    <n v="109.8191669"/>
    <n v="112.9619149"/>
    <x v="427"/>
    <x v="489"/>
    <s v="Increasing"/>
  </r>
  <r>
    <x v="490"/>
    <x v="11"/>
    <x v="0"/>
    <n v="110.860001"/>
    <n v="112.43"/>
    <n v="110.599998"/>
    <n v="112.120003"/>
    <n v="27068300"/>
    <n v="111.63599600000001"/>
    <n v="106.6517826"/>
    <n v="109.9008335"/>
    <n v="113.1498845"/>
    <x v="428"/>
    <x v="490"/>
    <s v="Increasing"/>
  </r>
  <r>
    <x v="491"/>
    <x v="11"/>
    <x v="0"/>
    <n v="112.30999799999999"/>
    <n v="114.699997"/>
    <n v="112.30999799999999"/>
    <n v="113.949997"/>
    <n v="34402600"/>
    <n v="113.45809"/>
    <n v="106.6325587"/>
    <n v="110.1716668"/>
    <n v="113.7107748"/>
    <x v="278"/>
    <x v="491"/>
    <s v="Increasing"/>
  </r>
  <r>
    <x v="492"/>
    <x v="11"/>
    <x v="0"/>
    <n v="113.290001"/>
    <n v="115"/>
    <n v="112.489998"/>
    <n v="113.300003"/>
    <n v="26374400"/>
    <n v="112.810902"/>
    <n v="106.7708758"/>
    <n v="110.45399999999999"/>
    <n v="114.1371242"/>
    <x v="233"/>
    <x v="492"/>
    <s v="Increasing"/>
  </r>
  <r>
    <x v="493"/>
    <x v="11"/>
    <x v="0"/>
    <n v="113.839996"/>
    <n v="115.91999800000001"/>
    <n v="113.75"/>
    <n v="115.19000200000001"/>
    <n v="43733800"/>
    <n v="114.69274299999999"/>
    <n v="107.3615315"/>
    <n v="110.9083334"/>
    <n v="114.4551352"/>
    <x v="429"/>
    <x v="493"/>
    <s v="Increasing"/>
  </r>
  <r>
    <x v="494"/>
    <x v="11"/>
    <x v="0"/>
    <n v="115.040001"/>
    <n v="116.199997"/>
    <n v="114.980003"/>
    <n v="115.19000200000001"/>
    <n v="34031800"/>
    <n v="114.69274299999999"/>
    <n v="107.7378136"/>
    <n v="111.33199999999999"/>
    <n v="114.9261863"/>
    <x v="430"/>
    <x v="494"/>
    <s v="Increasing"/>
  </r>
  <r>
    <x v="495"/>
    <x v="11"/>
    <x v="0"/>
    <n v="115.379997"/>
    <n v="116.730003"/>
    <n v="115.230003"/>
    <n v="115.82"/>
    <n v="46524500"/>
    <n v="115.32002"/>
    <n v="107.7433259"/>
    <n v="111.6813334"/>
    <n v="115.6193409"/>
    <x v="431"/>
    <x v="495"/>
    <s v="Increasing"/>
  </r>
  <r>
    <x v="496"/>
    <x v="11"/>
    <x v="0"/>
    <n v="116.470001"/>
    <n v="116.5"/>
    <n v="115.650002"/>
    <n v="115.970001"/>
    <n v="44351100"/>
    <n v="115.469374"/>
    <n v="107.7399492"/>
    <n v="111.9978335"/>
    <n v="116.2557178"/>
    <x v="432"/>
    <x v="496"/>
    <s v="Decreasing"/>
  </r>
  <r>
    <x v="497"/>
    <x v="11"/>
    <x v="0"/>
    <n v="115.800003"/>
    <n v="117.379997"/>
    <n v="115.75"/>
    <n v="116.639999"/>
    <n v="27779400"/>
    <n v="116.13648000000001"/>
    <n v="107.7193352"/>
    <n v="112.3230001"/>
    <n v="116.926665"/>
    <x v="433"/>
    <x v="497"/>
    <s v="Increasing"/>
  </r>
  <r>
    <x v="498"/>
    <x v="11"/>
    <x v="0"/>
    <n v="116.739998"/>
    <n v="117.5"/>
    <n v="116.68"/>
    <n v="116.949997"/>
    <n v="21425000"/>
    <n v="116.445139"/>
    <n v="107.6049562"/>
    <n v="112.613"/>
    <n v="117.6210437"/>
    <x v="434"/>
    <x v="498"/>
    <s v="Increasing"/>
  </r>
  <r>
    <x v="499"/>
    <x v="11"/>
    <x v="0"/>
    <n v="116.800003"/>
    <n v="117.400002"/>
    <n v="116.779999"/>
    <n v="117.05999799999999"/>
    <n v="23783200"/>
    <n v="116.554665"/>
    <n v="107.51695340000001"/>
    <n v="112.8733332"/>
    <n v="118.2297131"/>
    <x v="335"/>
    <x v="499"/>
    <s v="Increasing"/>
  </r>
  <r>
    <x v="500"/>
    <x v="11"/>
    <x v="0"/>
    <n v="116.349998"/>
    <n v="116.510002"/>
    <n v="115.639999"/>
    <n v="116.290001"/>
    <n v="26085900"/>
    <n v="115.787993"/>
    <n v="107.66262089999999"/>
    <n v="113.1294998"/>
    <n v="118.5963787"/>
    <x v="435"/>
    <x v="500"/>
    <s v="Decreasing"/>
  </r>
  <r>
    <x v="501"/>
    <x v="11"/>
    <x v="0"/>
    <n v="115.589996"/>
    <n v="116.519997"/>
    <n v="115.589996"/>
    <n v="116.519997"/>
    <n v="14249500"/>
    <n v="116.01699499999999"/>
    <n v="107.790121"/>
    <n v="113.3631663"/>
    <n v="118.93621159999999"/>
    <x v="254"/>
    <x v="501"/>
    <s v="Increasing"/>
  </r>
  <r>
    <x v="502"/>
    <x v="11"/>
    <x v="0"/>
    <n v="116.519997"/>
    <n v="117.800003"/>
    <n v="116.489998"/>
    <n v="117.260002"/>
    <n v="18296900"/>
    <n v="116.753806"/>
    <n v="107.86933550000001"/>
    <n v="113.631833"/>
    <n v="119.3943306"/>
    <x v="436"/>
    <x v="502"/>
    <s v="Increasing"/>
  </r>
  <r>
    <x v="503"/>
    <x v="11"/>
    <x v="0"/>
    <n v="117.519997"/>
    <n v="118.019997"/>
    <n v="116.199997"/>
    <n v="116.760002"/>
    <n v="20905900"/>
    <n v="116.255965"/>
    <n v="108.09693059999999"/>
    <n v="113.9221663"/>
    <n v="119.74740199999999"/>
    <x v="437"/>
    <x v="503"/>
    <s v="Decreasing"/>
  </r>
  <r>
    <x v="504"/>
    <x v="11"/>
    <x v="0"/>
    <n v="116.449997"/>
    <n v="117.110001"/>
    <n v="116.400002"/>
    <n v="116.730003"/>
    <n v="15039500"/>
    <n v="116.226096"/>
    <n v="108.4229062"/>
    <n v="114.20966660000001"/>
    <n v="119.9964269"/>
    <x v="111"/>
    <x v="504"/>
    <s v="Increasing"/>
  </r>
  <r>
    <x v="505"/>
    <x v="11"/>
    <x v="0"/>
    <n v="116.650002"/>
    <n v="117.199997"/>
    <n v="115.43"/>
    <n v="115.82"/>
    <n v="30586300"/>
    <n v="115.32002"/>
    <n v="109.05030600000001"/>
    <n v="114.5261665"/>
    <n v="120.00202710000001"/>
    <x v="438"/>
    <x v="505"/>
    <s v="Decreas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EB284-F224-480F-ADC2-96AB5CDD5D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8">
    <pivotField numFmtId="164" showAll="0">
      <items count="507">
        <item x="39"/>
        <item x="40"/>
        <item x="41"/>
        <item x="42"/>
        <item x="43"/>
        <item x="44"/>
        <item x="45"/>
        <item x="46"/>
        <item x="47"/>
        <item x="80"/>
        <item x="81"/>
        <item x="82"/>
        <item x="83"/>
        <item x="84"/>
        <item x="85"/>
        <item x="86"/>
        <item x="87"/>
        <item x="88"/>
        <item x="89"/>
        <item x="90"/>
        <item x="91"/>
        <item x="92"/>
        <item x="93"/>
        <item x="94"/>
        <item x="95"/>
        <item x="96"/>
        <item x="97"/>
        <item x="98"/>
        <item x="99"/>
        <item x="100"/>
        <item x="101"/>
        <item x="124"/>
        <item x="125"/>
        <item x="126"/>
        <item x="127"/>
        <item x="128"/>
        <item x="129"/>
        <item x="130"/>
        <item x="131"/>
        <item x="132"/>
        <item x="133"/>
        <item x="134"/>
        <item x="135"/>
        <item x="136"/>
        <item x="137"/>
        <item x="138"/>
        <item x="139"/>
        <item x="140"/>
        <item x="141"/>
        <item x="142"/>
        <item x="143"/>
        <item x="144"/>
        <item x="166"/>
        <item x="167"/>
        <item x="168"/>
        <item x="169"/>
        <item x="170"/>
        <item x="171"/>
        <item x="172"/>
        <item x="173"/>
        <item x="174"/>
        <item x="175"/>
        <item x="176"/>
        <item x="177"/>
        <item x="178"/>
        <item x="179"/>
        <item x="180"/>
        <item x="181"/>
        <item x="182"/>
        <item x="183"/>
        <item x="184"/>
        <item x="185"/>
        <item x="207"/>
        <item x="208"/>
        <item x="209"/>
        <item x="210"/>
        <item x="211"/>
        <item x="212"/>
        <item x="213"/>
        <item x="214"/>
        <item x="215"/>
        <item x="216"/>
        <item x="217"/>
        <item x="218"/>
        <item x="219"/>
        <item x="220"/>
        <item x="221"/>
        <item x="222"/>
        <item x="223"/>
        <item x="224"/>
        <item x="225"/>
        <item x="226"/>
        <item x="227"/>
        <item x="228"/>
        <item x="251"/>
        <item x="252"/>
        <item x="253"/>
        <item x="254"/>
        <item x="255"/>
        <item x="256"/>
        <item x="257"/>
        <item x="258"/>
        <item x="259"/>
        <item x="260"/>
        <item x="261"/>
        <item x="262"/>
        <item x="263"/>
        <item x="264"/>
        <item x="265"/>
        <item x="266"/>
        <item x="267"/>
        <item x="268"/>
        <item x="269"/>
        <item x="270"/>
        <item x="271"/>
        <item x="272"/>
        <item x="293"/>
        <item x="294"/>
        <item x="295"/>
        <item x="296"/>
        <item x="297"/>
        <item x="298"/>
        <item x="299"/>
        <item x="300"/>
        <item x="301"/>
        <item x="302"/>
        <item x="303"/>
        <item x="304"/>
        <item x="305"/>
        <item x="306"/>
        <item x="307"/>
        <item x="308"/>
        <item x="309"/>
        <item x="310"/>
        <item x="311"/>
        <item x="312"/>
        <item x="313"/>
        <item x="337"/>
        <item x="338"/>
        <item x="339"/>
        <item x="340"/>
        <item x="341"/>
        <item x="342"/>
        <item x="343"/>
        <item x="344"/>
        <item x="345"/>
        <item x="346"/>
        <item x="347"/>
        <item x="348"/>
        <item x="349"/>
        <item x="350"/>
        <item x="351"/>
        <item x="352"/>
        <item x="353"/>
        <item x="354"/>
        <item x="355"/>
        <item x="356"/>
        <item x="357"/>
        <item x="379"/>
        <item x="380"/>
        <item x="381"/>
        <item x="382"/>
        <item x="383"/>
        <item x="384"/>
        <item x="385"/>
        <item x="386"/>
        <item x="387"/>
        <item x="388"/>
        <item x="389"/>
        <item x="390"/>
        <item x="391"/>
        <item x="392"/>
        <item x="393"/>
        <item x="394"/>
        <item x="395"/>
        <item x="396"/>
        <item x="397"/>
        <item x="398"/>
        <item x="399"/>
        <item x="400"/>
        <item x="422"/>
        <item x="423"/>
        <item x="424"/>
        <item x="425"/>
        <item x="426"/>
        <item x="427"/>
        <item x="428"/>
        <item x="429"/>
        <item x="430"/>
        <item x="431"/>
        <item x="432"/>
        <item x="433"/>
        <item x="434"/>
        <item x="435"/>
        <item x="436"/>
        <item x="437"/>
        <item x="438"/>
        <item x="439"/>
        <item x="440"/>
        <item x="441"/>
        <item x="463"/>
        <item x="464"/>
        <item x="465"/>
        <item x="466"/>
        <item x="467"/>
        <item x="468"/>
        <item x="469"/>
        <item x="470"/>
        <item x="471"/>
        <item x="472"/>
        <item x="473"/>
        <item x="474"/>
        <item x="475"/>
        <item x="476"/>
        <item x="477"/>
        <item x="478"/>
        <item x="479"/>
        <item x="480"/>
        <item x="481"/>
        <item x="482"/>
        <item x="483"/>
        <item x="484"/>
        <item x="0"/>
        <item x="1"/>
        <item x="2"/>
        <item x="3"/>
        <item x="4"/>
        <item x="5"/>
        <item x="6"/>
        <item x="7"/>
        <item x="8"/>
        <item x="9"/>
        <item x="10"/>
        <item x="11"/>
        <item x="12"/>
        <item x="13"/>
        <item x="14"/>
        <item x="15"/>
        <item x="16"/>
        <item x="17"/>
        <item x="18"/>
        <item x="48"/>
        <item x="49"/>
        <item x="50"/>
        <item x="51"/>
        <item x="52"/>
        <item x="53"/>
        <item x="54"/>
        <item x="55"/>
        <item x="56"/>
        <item x="57"/>
        <item x="58"/>
        <item x="59"/>
        <item x="60"/>
        <item x="61"/>
        <item x="62"/>
        <item x="63"/>
        <item x="64"/>
        <item x="65"/>
        <item x="66"/>
        <item x="67"/>
        <item x="102"/>
        <item x="103"/>
        <item x="104"/>
        <item x="105"/>
        <item x="106"/>
        <item x="107"/>
        <item x="108"/>
        <item x="109"/>
        <item x="110"/>
        <item x="111"/>
        <item x="112"/>
        <item x="113"/>
        <item x="114"/>
        <item x="115"/>
        <item x="116"/>
        <item x="117"/>
        <item x="118"/>
        <item x="119"/>
        <item x="120"/>
        <item x="121"/>
        <item x="122"/>
        <item x="123"/>
        <item x="145"/>
        <item x="146"/>
        <item x="147"/>
        <item x="148"/>
        <item x="149"/>
        <item x="150"/>
        <item x="151"/>
        <item x="152"/>
        <item x="153"/>
        <item x="154"/>
        <item x="155"/>
        <item x="156"/>
        <item x="157"/>
        <item x="158"/>
        <item x="159"/>
        <item x="160"/>
        <item x="161"/>
        <item x="162"/>
        <item x="163"/>
        <item x="164"/>
        <item x="165"/>
        <item x="186"/>
        <item x="187"/>
        <item x="188"/>
        <item x="189"/>
        <item x="190"/>
        <item x="191"/>
        <item x="192"/>
        <item x="193"/>
        <item x="194"/>
        <item x="195"/>
        <item x="196"/>
        <item x="197"/>
        <item x="198"/>
        <item x="199"/>
        <item x="200"/>
        <item x="201"/>
        <item x="202"/>
        <item x="203"/>
        <item x="204"/>
        <item x="205"/>
        <item x="206"/>
        <item x="229"/>
        <item x="230"/>
        <item x="231"/>
        <item x="232"/>
        <item x="233"/>
        <item x="234"/>
        <item x="235"/>
        <item x="236"/>
        <item x="237"/>
        <item x="238"/>
        <item x="239"/>
        <item x="240"/>
        <item x="241"/>
        <item x="242"/>
        <item x="243"/>
        <item x="244"/>
        <item x="245"/>
        <item x="246"/>
        <item x="247"/>
        <item x="248"/>
        <item x="249"/>
        <item x="250"/>
        <item x="273"/>
        <item x="274"/>
        <item x="275"/>
        <item x="276"/>
        <item x="277"/>
        <item x="278"/>
        <item x="279"/>
        <item x="280"/>
        <item x="281"/>
        <item x="282"/>
        <item x="283"/>
        <item x="284"/>
        <item x="285"/>
        <item x="286"/>
        <item x="287"/>
        <item x="288"/>
        <item x="289"/>
        <item x="290"/>
        <item x="291"/>
        <item x="292"/>
        <item x="314"/>
        <item x="315"/>
        <item x="316"/>
        <item x="317"/>
        <item x="318"/>
        <item x="319"/>
        <item x="320"/>
        <item x="321"/>
        <item x="322"/>
        <item x="323"/>
        <item x="324"/>
        <item x="325"/>
        <item x="326"/>
        <item x="327"/>
        <item x="328"/>
        <item x="329"/>
        <item x="330"/>
        <item x="331"/>
        <item x="332"/>
        <item x="333"/>
        <item x="334"/>
        <item x="335"/>
        <item x="336"/>
        <item x="358"/>
        <item x="359"/>
        <item x="360"/>
        <item x="361"/>
        <item x="362"/>
        <item x="363"/>
        <item x="364"/>
        <item x="365"/>
        <item x="366"/>
        <item x="367"/>
        <item x="368"/>
        <item x="369"/>
        <item x="370"/>
        <item x="371"/>
        <item x="372"/>
        <item x="373"/>
        <item x="374"/>
        <item x="375"/>
        <item x="376"/>
        <item x="377"/>
        <item x="378"/>
        <item x="401"/>
        <item x="402"/>
        <item x="403"/>
        <item x="404"/>
        <item x="405"/>
        <item x="406"/>
        <item x="407"/>
        <item x="408"/>
        <item x="409"/>
        <item x="410"/>
        <item x="411"/>
        <item x="412"/>
        <item x="413"/>
        <item x="414"/>
        <item x="415"/>
        <item x="416"/>
        <item x="417"/>
        <item x="418"/>
        <item x="419"/>
        <item x="420"/>
        <item x="421"/>
        <item x="442"/>
        <item x="443"/>
        <item x="444"/>
        <item x="445"/>
        <item x="446"/>
        <item x="447"/>
        <item x="448"/>
        <item x="449"/>
        <item x="450"/>
        <item x="451"/>
        <item x="452"/>
        <item x="453"/>
        <item x="454"/>
        <item x="455"/>
        <item x="456"/>
        <item x="457"/>
        <item x="458"/>
        <item x="459"/>
        <item x="460"/>
        <item x="461"/>
        <item x="462"/>
        <item x="485"/>
        <item x="486"/>
        <item x="487"/>
        <item x="488"/>
        <item x="489"/>
        <item x="490"/>
        <item x="491"/>
        <item x="492"/>
        <item x="493"/>
        <item x="494"/>
        <item x="495"/>
        <item x="496"/>
        <item x="497"/>
        <item x="498"/>
        <item x="499"/>
        <item x="500"/>
        <item x="501"/>
        <item x="502"/>
        <item x="503"/>
        <item x="504"/>
        <item x="505"/>
        <item x="19"/>
        <item x="20"/>
        <item x="21"/>
        <item x="22"/>
        <item x="23"/>
        <item x="24"/>
        <item x="25"/>
        <item x="26"/>
        <item x="27"/>
        <item x="28"/>
        <item x="29"/>
        <item x="30"/>
        <item x="31"/>
        <item x="32"/>
        <item x="33"/>
        <item x="34"/>
        <item x="35"/>
        <item x="36"/>
        <item x="37"/>
        <item x="38"/>
        <item x="68"/>
        <item x="69"/>
        <item x="70"/>
        <item x="71"/>
        <item x="72"/>
        <item x="73"/>
        <item x="74"/>
        <item x="75"/>
        <item x="76"/>
        <item x="77"/>
        <item x="78"/>
        <item x="79"/>
        <item t="default"/>
      </items>
    </pivotField>
    <pivotField axis="axisRow" showAll="0">
      <items count="13">
        <item x="0"/>
        <item x="1"/>
        <item x="2"/>
        <item x="3"/>
        <item x="4"/>
        <item x="5"/>
        <item x="6"/>
        <item x="7"/>
        <item x="8"/>
        <item x="9"/>
        <item x="10"/>
        <item x="11"/>
        <item t="default"/>
      </items>
    </pivotField>
    <pivotField numFmtId="1" showAll="0">
      <items count="4">
        <item x="2"/>
        <item x="0"/>
        <item x="1"/>
        <item t="default"/>
      </items>
    </pivotField>
    <pivotField numFmtId="165" showAll="0"/>
    <pivotField numFmtId="165" showAll="0"/>
    <pivotField numFmtId="165" showAll="0"/>
    <pivotField dataField="1" numFmtId="165" showAll="0"/>
    <pivotField numFmtId="1" showAll="0"/>
    <pivotField showAll="0"/>
    <pivotField showAll="0"/>
    <pivotField showAll="0"/>
    <pivotField showAll="0"/>
    <pivotField numFmtId="165"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Average of AAPL.Close" fld="6" subtotal="average" baseField="1" baseItem="0" numFmtId="165"/>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CF6D6B-8883-4F93-9A54-E0F2DDE5D2A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8">
    <pivotField numFmtId="164" showAll="0">
      <items count="507">
        <item x="39"/>
        <item x="40"/>
        <item x="41"/>
        <item x="42"/>
        <item x="43"/>
        <item x="44"/>
        <item x="45"/>
        <item x="46"/>
        <item x="47"/>
        <item x="80"/>
        <item x="81"/>
        <item x="82"/>
        <item x="83"/>
        <item x="84"/>
        <item x="85"/>
        <item x="86"/>
        <item x="87"/>
        <item x="88"/>
        <item x="89"/>
        <item x="90"/>
        <item x="91"/>
        <item x="92"/>
        <item x="93"/>
        <item x="94"/>
        <item x="95"/>
        <item x="96"/>
        <item x="97"/>
        <item x="98"/>
        <item x="99"/>
        <item x="100"/>
        <item x="101"/>
        <item x="124"/>
        <item x="125"/>
        <item x="126"/>
        <item x="127"/>
        <item x="128"/>
        <item x="129"/>
        <item x="130"/>
        <item x="131"/>
        <item x="132"/>
        <item x="133"/>
        <item x="134"/>
        <item x="135"/>
        <item x="136"/>
        <item x="137"/>
        <item x="138"/>
        <item x="139"/>
        <item x="140"/>
        <item x="141"/>
        <item x="142"/>
        <item x="143"/>
        <item x="144"/>
        <item x="166"/>
        <item x="167"/>
        <item x="168"/>
        <item x="169"/>
        <item x="170"/>
        <item x="171"/>
        <item x="172"/>
        <item x="173"/>
        <item x="174"/>
        <item x="175"/>
        <item x="176"/>
        <item x="177"/>
        <item x="178"/>
        <item x="179"/>
        <item x="180"/>
        <item x="181"/>
        <item x="182"/>
        <item x="183"/>
        <item x="184"/>
        <item x="185"/>
        <item x="207"/>
        <item x="208"/>
        <item x="209"/>
        <item x="210"/>
        <item x="211"/>
        <item x="212"/>
        <item x="213"/>
        <item x="214"/>
        <item x="215"/>
        <item x="216"/>
        <item x="217"/>
        <item x="218"/>
        <item x="219"/>
        <item x="220"/>
        <item x="221"/>
        <item x="222"/>
        <item x="223"/>
        <item x="224"/>
        <item x="225"/>
        <item x="226"/>
        <item x="227"/>
        <item x="228"/>
        <item x="251"/>
        <item x="252"/>
        <item x="253"/>
        <item x="254"/>
        <item x="255"/>
        <item x="256"/>
        <item x="257"/>
        <item x="258"/>
        <item x="259"/>
        <item x="260"/>
        <item x="261"/>
        <item x="262"/>
        <item x="263"/>
        <item x="264"/>
        <item x="265"/>
        <item x="266"/>
        <item x="267"/>
        <item x="268"/>
        <item x="269"/>
        <item x="270"/>
        <item x="271"/>
        <item x="272"/>
        <item x="293"/>
        <item x="294"/>
        <item x="295"/>
        <item x="296"/>
        <item x="297"/>
        <item x="298"/>
        <item x="299"/>
        <item x="300"/>
        <item x="301"/>
        <item x="302"/>
        <item x="303"/>
        <item x="304"/>
        <item x="305"/>
        <item x="306"/>
        <item x="307"/>
        <item x="308"/>
        <item x="309"/>
        <item x="310"/>
        <item x="311"/>
        <item x="312"/>
        <item x="313"/>
        <item x="337"/>
        <item x="338"/>
        <item x="339"/>
        <item x="340"/>
        <item x="341"/>
        <item x="342"/>
        <item x="343"/>
        <item x="344"/>
        <item x="345"/>
        <item x="346"/>
        <item x="347"/>
        <item x="348"/>
        <item x="349"/>
        <item x="350"/>
        <item x="351"/>
        <item x="352"/>
        <item x="353"/>
        <item x="354"/>
        <item x="355"/>
        <item x="356"/>
        <item x="357"/>
        <item x="379"/>
        <item x="380"/>
        <item x="381"/>
        <item x="382"/>
        <item x="383"/>
        <item x="384"/>
        <item x="385"/>
        <item x="386"/>
        <item x="387"/>
        <item x="388"/>
        <item x="389"/>
        <item x="390"/>
        <item x="391"/>
        <item x="392"/>
        <item x="393"/>
        <item x="394"/>
        <item x="395"/>
        <item x="396"/>
        <item x="397"/>
        <item x="398"/>
        <item x="399"/>
        <item x="400"/>
        <item x="422"/>
        <item x="423"/>
        <item x="424"/>
        <item x="425"/>
        <item x="426"/>
        <item x="427"/>
        <item x="428"/>
        <item x="429"/>
        <item x="430"/>
        <item x="431"/>
        <item x="432"/>
        <item x="433"/>
        <item x="434"/>
        <item x="435"/>
        <item x="436"/>
        <item x="437"/>
        <item x="438"/>
        <item x="439"/>
        <item x="440"/>
        <item x="441"/>
        <item x="463"/>
        <item x="464"/>
        <item x="465"/>
        <item x="466"/>
        <item x="467"/>
        <item x="468"/>
        <item x="469"/>
        <item x="470"/>
        <item x="471"/>
        <item x="472"/>
        <item x="473"/>
        <item x="474"/>
        <item x="475"/>
        <item x="476"/>
        <item x="477"/>
        <item x="478"/>
        <item x="479"/>
        <item x="480"/>
        <item x="481"/>
        <item x="482"/>
        <item x="483"/>
        <item x="484"/>
        <item x="0"/>
        <item x="1"/>
        <item x="2"/>
        <item x="3"/>
        <item x="4"/>
        <item x="5"/>
        <item x="6"/>
        <item x="7"/>
        <item x="8"/>
        <item x="9"/>
        <item x="10"/>
        <item x="11"/>
        <item x="12"/>
        <item x="13"/>
        <item x="14"/>
        <item x="15"/>
        <item x="16"/>
        <item x="17"/>
        <item x="18"/>
        <item x="48"/>
        <item x="49"/>
        <item x="50"/>
        <item x="51"/>
        <item x="52"/>
        <item x="53"/>
        <item x="54"/>
        <item x="55"/>
        <item x="56"/>
        <item x="57"/>
        <item x="58"/>
        <item x="59"/>
        <item x="60"/>
        <item x="61"/>
        <item x="62"/>
        <item x="63"/>
        <item x="64"/>
        <item x="65"/>
        <item x="66"/>
        <item x="67"/>
        <item x="102"/>
        <item x="103"/>
        <item x="104"/>
        <item x="105"/>
        <item x="106"/>
        <item x="107"/>
        <item x="108"/>
        <item x="109"/>
        <item x="110"/>
        <item x="111"/>
        <item x="112"/>
        <item x="113"/>
        <item x="114"/>
        <item x="115"/>
        <item x="116"/>
        <item x="117"/>
        <item x="118"/>
        <item x="119"/>
        <item x="120"/>
        <item x="121"/>
        <item x="122"/>
        <item x="123"/>
        <item x="145"/>
        <item x="146"/>
        <item x="147"/>
        <item x="148"/>
        <item x="149"/>
        <item x="150"/>
        <item x="151"/>
        <item x="152"/>
        <item x="153"/>
        <item x="154"/>
        <item x="155"/>
        <item x="156"/>
        <item x="157"/>
        <item x="158"/>
        <item x="159"/>
        <item x="160"/>
        <item x="161"/>
        <item x="162"/>
        <item x="163"/>
        <item x="164"/>
        <item x="165"/>
        <item x="186"/>
        <item x="187"/>
        <item x="188"/>
        <item x="189"/>
        <item x="190"/>
        <item x="191"/>
        <item x="192"/>
        <item x="193"/>
        <item x="194"/>
        <item x="195"/>
        <item x="196"/>
        <item x="197"/>
        <item x="198"/>
        <item x="199"/>
        <item x="200"/>
        <item x="201"/>
        <item x="202"/>
        <item x="203"/>
        <item x="204"/>
        <item x="205"/>
        <item x="206"/>
        <item x="229"/>
        <item x="230"/>
        <item x="231"/>
        <item x="232"/>
        <item x="233"/>
        <item x="234"/>
        <item x="235"/>
        <item x="236"/>
        <item x="237"/>
        <item x="238"/>
        <item x="239"/>
        <item x="240"/>
        <item x="241"/>
        <item x="242"/>
        <item x="243"/>
        <item x="244"/>
        <item x="245"/>
        <item x="246"/>
        <item x="247"/>
        <item x="248"/>
        <item x="249"/>
        <item x="250"/>
        <item x="273"/>
        <item x="274"/>
        <item x="275"/>
        <item x="276"/>
        <item x="277"/>
        <item x="278"/>
        <item x="279"/>
        <item x="280"/>
        <item x="281"/>
        <item x="282"/>
        <item x="283"/>
        <item x="284"/>
        <item x="285"/>
        <item x="286"/>
        <item x="287"/>
        <item x="288"/>
        <item x="289"/>
        <item x="290"/>
        <item x="291"/>
        <item x="292"/>
        <item x="314"/>
        <item x="315"/>
        <item x="316"/>
        <item x="317"/>
        <item x="318"/>
        <item x="319"/>
        <item x="320"/>
        <item x="321"/>
        <item x="322"/>
        <item x="323"/>
        <item x="324"/>
        <item x="325"/>
        <item x="326"/>
        <item x="327"/>
        <item x="328"/>
        <item x="329"/>
        <item x="330"/>
        <item x="331"/>
        <item x="332"/>
        <item x="333"/>
        <item x="334"/>
        <item x="335"/>
        <item x="336"/>
        <item x="358"/>
        <item x="359"/>
        <item x="360"/>
        <item x="361"/>
        <item x="362"/>
        <item x="363"/>
        <item x="364"/>
        <item x="365"/>
        <item x="366"/>
        <item x="367"/>
        <item x="368"/>
        <item x="369"/>
        <item x="370"/>
        <item x="371"/>
        <item x="372"/>
        <item x="373"/>
        <item x="374"/>
        <item x="375"/>
        <item x="376"/>
        <item x="377"/>
        <item x="378"/>
        <item x="401"/>
        <item x="402"/>
        <item x="403"/>
        <item x="404"/>
        <item x="405"/>
        <item x="406"/>
        <item x="407"/>
        <item x="408"/>
        <item x="409"/>
        <item x="410"/>
        <item x="411"/>
        <item x="412"/>
        <item x="413"/>
        <item x="414"/>
        <item x="415"/>
        <item x="416"/>
        <item x="417"/>
        <item x="418"/>
        <item x="419"/>
        <item x="420"/>
        <item x="421"/>
        <item x="442"/>
        <item x="443"/>
        <item x="444"/>
        <item x="445"/>
        <item x="446"/>
        <item x="447"/>
        <item x="448"/>
        <item x="449"/>
        <item x="450"/>
        <item x="451"/>
        <item x="452"/>
        <item x="453"/>
        <item x="454"/>
        <item x="455"/>
        <item x="456"/>
        <item x="457"/>
        <item x="458"/>
        <item x="459"/>
        <item x="460"/>
        <item x="461"/>
        <item x="462"/>
        <item x="485"/>
        <item x="486"/>
        <item x="487"/>
        <item x="488"/>
        <item x="489"/>
        <item x="490"/>
        <item x="491"/>
        <item x="492"/>
        <item x="493"/>
        <item x="494"/>
        <item x="495"/>
        <item x="496"/>
        <item x="497"/>
        <item x="498"/>
        <item x="499"/>
        <item x="500"/>
        <item x="501"/>
        <item x="502"/>
        <item x="503"/>
        <item x="504"/>
        <item x="505"/>
        <item x="19"/>
        <item x="20"/>
        <item x="21"/>
        <item x="22"/>
        <item x="23"/>
        <item x="24"/>
        <item x="25"/>
        <item x="26"/>
        <item x="27"/>
        <item x="28"/>
        <item x="29"/>
        <item x="30"/>
        <item x="31"/>
        <item x="32"/>
        <item x="33"/>
        <item x="34"/>
        <item x="35"/>
        <item x="36"/>
        <item x="37"/>
        <item x="38"/>
        <item x="68"/>
        <item x="69"/>
        <item x="70"/>
        <item x="71"/>
        <item x="72"/>
        <item x="73"/>
        <item x="74"/>
        <item x="75"/>
        <item x="76"/>
        <item x="77"/>
        <item x="78"/>
        <item x="79"/>
        <item t="default"/>
      </items>
    </pivotField>
    <pivotField axis="axisRow" showAll="0">
      <items count="13">
        <item x="0"/>
        <item x="1"/>
        <item x="2"/>
        <item x="3"/>
        <item x="4"/>
        <item x="5"/>
        <item x="6"/>
        <item x="7"/>
        <item x="8"/>
        <item x="9"/>
        <item x="10"/>
        <item x="11"/>
        <item t="default"/>
      </items>
    </pivotField>
    <pivotField numFmtId="1" showAll="0">
      <items count="4">
        <item x="2"/>
        <item x="0"/>
        <item x="1"/>
        <item t="default"/>
      </items>
    </pivotField>
    <pivotField numFmtId="165" showAll="0"/>
    <pivotField numFmtId="165" showAll="0"/>
    <pivotField numFmtId="165" showAll="0"/>
    <pivotField numFmtId="165" showAll="0"/>
    <pivotField dataField="1" numFmtId="1" showAll="0"/>
    <pivotField showAll="0"/>
    <pivotField showAll="0"/>
    <pivotField showAll="0"/>
    <pivotField showAll="0"/>
    <pivotField numFmtId="165"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AAPL.Volume" fld="7" baseField="0" baseItem="0" numFmtId="1"/>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EC8CF-8995-4B58-A0FD-A90A0DB464B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Up &amp; Down Days">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Date" fld="1"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charts-app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4ABF86-E3B9-4123-AF33-FCB011EB9E5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A3:B16" firstHeaderRow="1" firstDataRow="1" firstDataCol="1"/>
  <pivotFields count="18">
    <pivotField numFmtId="164" showAll="0">
      <items count="507">
        <item x="39"/>
        <item x="40"/>
        <item x="41"/>
        <item x="42"/>
        <item x="43"/>
        <item x="44"/>
        <item x="45"/>
        <item x="46"/>
        <item x="47"/>
        <item x="80"/>
        <item x="81"/>
        <item x="82"/>
        <item x="83"/>
        <item x="84"/>
        <item x="85"/>
        <item x="86"/>
        <item x="87"/>
        <item x="88"/>
        <item x="89"/>
        <item x="90"/>
        <item x="91"/>
        <item x="92"/>
        <item x="93"/>
        <item x="94"/>
        <item x="95"/>
        <item x="96"/>
        <item x="97"/>
        <item x="98"/>
        <item x="99"/>
        <item x="100"/>
        <item x="101"/>
        <item x="124"/>
        <item x="125"/>
        <item x="126"/>
        <item x="127"/>
        <item x="128"/>
        <item x="129"/>
        <item x="130"/>
        <item x="131"/>
        <item x="132"/>
        <item x="133"/>
        <item x="134"/>
        <item x="135"/>
        <item x="136"/>
        <item x="137"/>
        <item x="138"/>
        <item x="139"/>
        <item x="140"/>
        <item x="141"/>
        <item x="142"/>
        <item x="143"/>
        <item x="144"/>
        <item x="166"/>
        <item x="167"/>
        <item x="168"/>
        <item x="169"/>
        <item x="170"/>
        <item x="171"/>
        <item x="172"/>
        <item x="173"/>
        <item x="174"/>
        <item x="175"/>
        <item x="176"/>
        <item x="177"/>
        <item x="178"/>
        <item x="179"/>
        <item x="180"/>
        <item x="181"/>
        <item x="182"/>
        <item x="183"/>
        <item x="184"/>
        <item x="185"/>
        <item x="207"/>
        <item x="208"/>
        <item x="209"/>
        <item x="210"/>
        <item x="211"/>
        <item x="212"/>
        <item x="213"/>
        <item x="214"/>
        <item x="215"/>
        <item x="216"/>
        <item x="217"/>
        <item x="218"/>
        <item x="219"/>
        <item x="220"/>
        <item x="221"/>
        <item x="222"/>
        <item x="223"/>
        <item x="224"/>
        <item x="225"/>
        <item x="226"/>
        <item x="227"/>
        <item x="228"/>
        <item x="251"/>
        <item x="252"/>
        <item x="253"/>
        <item x="254"/>
        <item x="255"/>
        <item x="256"/>
        <item x="257"/>
        <item x="258"/>
        <item x="259"/>
        <item x="260"/>
        <item x="261"/>
        <item x="262"/>
        <item x="263"/>
        <item x="264"/>
        <item x="265"/>
        <item x="266"/>
        <item x="267"/>
        <item x="268"/>
        <item x="269"/>
        <item x="270"/>
        <item x="271"/>
        <item x="272"/>
        <item x="293"/>
        <item x="294"/>
        <item x="295"/>
        <item x="296"/>
        <item x="297"/>
        <item x="298"/>
        <item x="299"/>
        <item x="300"/>
        <item x="301"/>
        <item x="302"/>
        <item x="303"/>
        <item x="304"/>
        <item x="305"/>
        <item x="306"/>
        <item x="307"/>
        <item x="308"/>
        <item x="309"/>
        <item x="310"/>
        <item x="311"/>
        <item x="312"/>
        <item x="313"/>
        <item x="337"/>
        <item x="338"/>
        <item x="339"/>
        <item x="340"/>
        <item x="341"/>
        <item x="342"/>
        <item x="343"/>
        <item x="344"/>
        <item x="345"/>
        <item x="346"/>
        <item x="347"/>
        <item x="348"/>
        <item x="349"/>
        <item x="350"/>
        <item x="351"/>
        <item x="352"/>
        <item x="353"/>
        <item x="354"/>
        <item x="355"/>
        <item x="356"/>
        <item x="357"/>
        <item x="379"/>
        <item x="380"/>
        <item x="381"/>
        <item x="382"/>
        <item x="383"/>
        <item x="384"/>
        <item x="385"/>
        <item x="386"/>
        <item x="387"/>
        <item x="388"/>
        <item x="389"/>
        <item x="390"/>
        <item x="391"/>
        <item x="392"/>
        <item x="393"/>
        <item x="394"/>
        <item x="395"/>
        <item x="396"/>
        <item x="397"/>
        <item x="398"/>
        <item x="399"/>
        <item x="400"/>
        <item x="422"/>
        <item x="423"/>
        <item x="424"/>
        <item x="425"/>
        <item x="426"/>
        <item x="427"/>
        <item x="428"/>
        <item x="429"/>
        <item x="430"/>
        <item x="431"/>
        <item x="432"/>
        <item x="433"/>
        <item x="434"/>
        <item x="435"/>
        <item x="436"/>
        <item x="437"/>
        <item x="438"/>
        <item x="439"/>
        <item x="440"/>
        <item x="441"/>
        <item x="463"/>
        <item x="464"/>
        <item x="465"/>
        <item x="466"/>
        <item x="467"/>
        <item x="468"/>
        <item x="469"/>
        <item x="470"/>
        <item x="471"/>
        <item x="472"/>
        <item x="473"/>
        <item x="474"/>
        <item x="475"/>
        <item x="476"/>
        <item x="477"/>
        <item x="478"/>
        <item x="479"/>
        <item x="480"/>
        <item x="481"/>
        <item x="482"/>
        <item x="483"/>
        <item x="484"/>
        <item x="0"/>
        <item x="1"/>
        <item x="2"/>
        <item x="3"/>
        <item x="4"/>
        <item x="5"/>
        <item x="6"/>
        <item x="7"/>
        <item x="8"/>
        <item x="9"/>
        <item x="10"/>
        <item x="11"/>
        <item x="12"/>
        <item x="13"/>
        <item x="14"/>
        <item x="15"/>
        <item x="16"/>
        <item x="17"/>
        <item x="18"/>
        <item x="48"/>
        <item x="49"/>
        <item x="50"/>
        <item x="51"/>
        <item x="52"/>
        <item x="53"/>
        <item x="54"/>
        <item x="55"/>
        <item x="56"/>
        <item x="57"/>
        <item x="58"/>
        <item x="59"/>
        <item x="60"/>
        <item x="61"/>
        <item x="62"/>
        <item x="63"/>
        <item x="64"/>
        <item x="65"/>
        <item x="66"/>
        <item x="67"/>
        <item x="102"/>
        <item x="103"/>
        <item x="104"/>
        <item x="105"/>
        <item x="106"/>
        <item x="107"/>
        <item x="108"/>
        <item x="109"/>
        <item x="110"/>
        <item x="111"/>
        <item x="112"/>
        <item x="113"/>
        <item x="114"/>
        <item x="115"/>
        <item x="116"/>
        <item x="117"/>
        <item x="118"/>
        <item x="119"/>
        <item x="120"/>
        <item x="121"/>
        <item x="122"/>
        <item x="123"/>
        <item x="145"/>
        <item x="146"/>
        <item x="147"/>
        <item x="148"/>
        <item x="149"/>
        <item x="150"/>
        <item x="151"/>
        <item x="152"/>
        <item x="153"/>
        <item x="154"/>
        <item x="155"/>
        <item x="156"/>
        <item x="157"/>
        <item x="158"/>
        <item x="159"/>
        <item x="160"/>
        <item x="161"/>
        <item x="162"/>
        <item x="163"/>
        <item x="164"/>
        <item x="165"/>
        <item x="186"/>
        <item x="187"/>
        <item x="188"/>
        <item x="189"/>
        <item x="190"/>
        <item x="191"/>
        <item x="192"/>
        <item x="193"/>
        <item x="194"/>
        <item x="195"/>
        <item x="196"/>
        <item x="197"/>
        <item x="198"/>
        <item x="199"/>
        <item x="200"/>
        <item x="201"/>
        <item x="202"/>
        <item x="203"/>
        <item x="204"/>
        <item x="205"/>
        <item x="206"/>
        <item x="229"/>
        <item x="230"/>
        <item x="231"/>
        <item x="232"/>
        <item x="233"/>
        <item x="234"/>
        <item x="235"/>
        <item x="236"/>
        <item x="237"/>
        <item x="238"/>
        <item x="239"/>
        <item x="240"/>
        <item x="241"/>
        <item x="242"/>
        <item x="243"/>
        <item x="244"/>
        <item x="245"/>
        <item x="246"/>
        <item x="247"/>
        <item x="248"/>
        <item x="249"/>
        <item x="250"/>
        <item x="273"/>
        <item x="274"/>
        <item x="275"/>
        <item x="276"/>
        <item x="277"/>
        <item x="278"/>
        <item x="279"/>
        <item x="280"/>
        <item x="281"/>
        <item x="282"/>
        <item x="283"/>
        <item x="284"/>
        <item x="285"/>
        <item x="286"/>
        <item x="287"/>
        <item x="288"/>
        <item x="289"/>
        <item x="290"/>
        <item x="291"/>
        <item x="292"/>
        <item x="314"/>
        <item x="315"/>
        <item x="316"/>
        <item x="317"/>
        <item x="318"/>
        <item x="319"/>
        <item x="320"/>
        <item x="321"/>
        <item x="322"/>
        <item x="323"/>
        <item x="324"/>
        <item x="325"/>
        <item x="326"/>
        <item x="327"/>
        <item x="328"/>
        <item x="329"/>
        <item x="330"/>
        <item x="331"/>
        <item x="332"/>
        <item x="333"/>
        <item x="334"/>
        <item x="335"/>
        <item x="336"/>
        <item x="358"/>
        <item x="359"/>
        <item x="360"/>
        <item x="361"/>
        <item x="362"/>
        <item x="363"/>
        <item x="364"/>
        <item x="365"/>
        <item x="366"/>
        <item x="367"/>
        <item x="368"/>
        <item x="369"/>
        <item x="370"/>
        <item x="371"/>
        <item x="372"/>
        <item x="373"/>
        <item x="374"/>
        <item x="375"/>
        <item x="376"/>
        <item x="377"/>
        <item x="378"/>
        <item x="401"/>
        <item x="402"/>
        <item x="403"/>
        <item x="404"/>
        <item x="405"/>
        <item x="406"/>
        <item x="407"/>
        <item x="408"/>
        <item x="409"/>
        <item x="410"/>
        <item x="411"/>
        <item x="412"/>
        <item x="413"/>
        <item x="414"/>
        <item x="415"/>
        <item x="416"/>
        <item x="417"/>
        <item x="418"/>
        <item x="419"/>
        <item x="420"/>
        <item x="421"/>
        <item x="442"/>
        <item x="443"/>
        <item x="444"/>
        <item x="445"/>
        <item x="446"/>
        <item x="447"/>
        <item x="448"/>
        <item x="449"/>
        <item x="450"/>
        <item x="451"/>
        <item x="452"/>
        <item x="453"/>
        <item x="454"/>
        <item x="455"/>
        <item x="456"/>
        <item x="457"/>
        <item x="458"/>
        <item x="459"/>
        <item x="460"/>
        <item x="461"/>
        <item x="462"/>
        <item x="485"/>
        <item x="486"/>
        <item x="487"/>
        <item x="488"/>
        <item x="489"/>
        <item x="490"/>
        <item x="491"/>
        <item x="492"/>
        <item x="493"/>
        <item x="494"/>
        <item x="495"/>
        <item x="496"/>
        <item x="497"/>
        <item x="498"/>
        <item x="499"/>
        <item x="500"/>
        <item x="501"/>
        <item x="502"/>
        <item x="503"/>
        <item x="504"/>
        <item x="505"/>
        <item x="19"/>
        <item x="20"/>
        <item x="21"/>
        <item x="22"/>
        <item x="23"/>
        <item x="24"/>
        <item x="25"/>
        <item x="26"/>
        <item x="27"/>
        <item x="28"/>
        <item x="29"/>
        <item x="30"/>
        <item x="31"/>
        <item x="32"/>
        <item x="33"/>
        <item x="34"/>
        <item x="35"/>
        <item x="36"/>
        <item x="37"/>
        <item x="38"/>
        <item x="68"/>
        <item x="69"/>
        <item x="70"/>
        <item x="71"/>
        <item x="72"/>
        <item x="73"/>
        <item x="74"/>
        <item x="75"/>
        <item x="76"/>
        <item x="77"/>
        <item x="78"/>
        <item x="79"/>
        <item t="default"/>
      </items>
    </pivotField>
    <pivotField axis="axisRow" showAll="0">
      <items count="13">
        <item x="0"/>
        <item x="1"/>
        <item x="2"/>
        <item x="3"/>
        <item x="4"/>
        <item x="5"/>
        <item x="6"/>
        <item x="7"/>
        <item x="8"/>
        <item x="9"/>
        <item x="10"/>
        <item x="11"/>
        <item t="default"/>
      </items>
    </pivotField>
    <pivotField numFmtId="1" showAll="0">
      <items count="4">
        <item x="2"/>
        <item x="0"/>
        <item x="1"/>
        <item t="default"/>
      </items>
    </pivotField>
    <pivotField numFmtId="165" showAll="0"/>
    <pivotField numFmtId="165" showAll="0"/>
    <pivotField numFmtId="165" showAll="0"/>
    <pivotField numFmtId="165" showAll="0"/>
    <pivotField numFmtId="1" showAll="0"/>
    <pivotField showAll="0"/>
    <pivotField showAll="0"/>
    <pivotField showAll="0"/>
    <pivotField showAll="0"/>
    <pivotField numFmtId="165" showAll="0"/>
    <pivotField dataField="1"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Average of Change in stock %" fld="13" subtotal="average" baseField="1" baseItem="0" numFmtId="1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DAD65F4-C672-492A-8175-734B8C997027}" sourceName="Date">
  <pivotTables>
    <pivotTable tabId="8" name="PivotTable11"/>
    <pivotTable tabId="9" name="PivotTable8"/>
    <pivotTable tabId="3" name="PivotTable9"/>
  </pivotTables>
  <data>
    <tabular pivotCacheId="106903817">
      <items count="506">
        <i x="39" s="1"/>
        <i x="40" s="1"/>
        <i x="41" s="1"/>
        <i x="42" s="1"/>
        <i x="43" s="1"/>
        <i x="44" s="1"/>
        <i x="45" s="1"/>
        <i x="46" s="1"/>
        <i x="47" s="1"/>
        <i x="80" s="1"/>
        <i x="81" s="1"/>
        <i x="82" s="1"/>
        <i x="83" s="1"/>
        <i x="84" s="1"/>
        <i x="85" s="1"/>
        <i x="86" s="1"/>
        <i x="87" s="1"/>
        <i x="88" s="1"/>
        <i x="89" s="1"/>
        <i x="90" s="1"/>
        <i x="91" s="1"/>
        <i x="92" s="1"/>
        <i x="93" s="1"/>
        <i x="94" s="1"/>
        <i x="95" s="1"/>
        <i x="96" s="1"/>
        <i x="97" s="1"/>
        <i x="98" s="1"/>
        <i x="99" s="1"/>
        <i x="100" s="1"/>
        <i x="101" s="1"/>
        <i x="124" s="1"/>
        <i x="125" s="1"/>
        <i x="126" s="1"/>
        <i x="127" s="1"/>
        <i x="128" s="1"/>
        <i x="129" s="1"/>
        <i x="130" s="1"/>
        <i x="131" s="1"/>
        <i x="132" s="1"/>
        <i x="133" s="1"/>
        <i x="134" s="1"/>
        <i x="135" s="1"/>
        <i x="136" s="1"/>
        <i x="137" s="1"/>
        <i x="138" s="1"/>
        <i x="139" s="1"/>
        <i x="140" s="1"/>
        <i x="141" s="1"/>
        <i x="142" s="1"/>
        <i x="143" s="1"/>
        <i x="144" s="1"/>
        <i x="166" s="1"/>
        <i x="167" s="1"/>
        <i x="168" s="1"/>
        <i x="169" s="1"/>
        <i x="170" s="1"/>
        <i x="171" s="1"/>
        <i x="172" s="1"/>
        <i x="173" s="1"/>
        <i x="174" s="1"/>
        <i x="175" s="1"/>
        <i x="176" s="1"/>
        <i x="177" s="1"/>
        <i x="178" s="1"/>
        <i x="179" s="1"/>
        <i x="180" s="1"/>
        <i x="181" s="1"/>
        <i x="182" s="1"/>
        <i x="183" s="1"/>
        <i x="184" s="1"/>
        <i x="185" s="1"/>
        <i x="207" s="1"/>
        <i x="208" s="1"/>
        <i x="209" s="1"/>
        <i x="210" s="1"/>
        <i x="211" s="1"/>
        <i x="212" s="1"/>
        <i x="213" s="1"/>
        <i x="214" s="1"/>
        <i x="215" s="1"/>
        <i x="216" s="1"/>
        <i x="217" s="1"/>
        <i x="218" s="1"/>
        <i x="219" s="1"/>
        <i x="220" s="1"/>
        <i x="221" s="1"/>
        <i x="222" s="1"/>
        <i x="223" s="1"/>
        <i x="224" s="1"/>
        <i x="225" s="1"/>
        <i x="226" s="1"/>
        <i x="227" s="1"/>
        <i x="228" s="1"/>
        <i x="251" s="1"/>
        <i x="252" s="1"/>
        <i x="253" s="1"/>
        <i x="254" s="1"/>
        <i x="255" s="1"/>
        <i x="256" s="1"/>
        <i x="257" s="1"/>
        <i x="258" s="1"/>
        <i x="259" s="1"/>
        <i x="260" s="1"/>
        <i x="261" s="1"/>
        <i x="262" s="1"/>
        <i x="263" s="1"/>
        <i x="264" s="1"/>
        <i x="265" s="1"/>
        <i x="266" s="1"/>
        <i x="267" s="1"/>
        <i x="268" s="1"/>
        <i x="269" s="1"/>
        <i x="270" s="1"/>
        <i x="271" s="1"/>
        <i x="272" s="1"/>
        <i x="293" s="1"/>
        <i x="294" s="1"/>
        <i x="295" s="1"/>
        <i x="296" s="1"/>
        <i x="297" s="1"/>
        <i x="298" s="1"/>
        <i x="299" s="1"/>
        <i x="300" s="1"/>
        <i x="301" s="1"/>
        <i x="302" s="1"/>
        <i x="303" s="1"/>
        <i x="304" s="1"/>
        <i x="305" s="1"/>
        <i x="306" s="1"/>
        <i x="307" s="1"/>
        <i x="308" s="1"/>
        <i x="309" s="1"/>
        <i x="310" s="1"/>
        <i x="311" s="1"/>
        <i x="312" s="1"/>
        <i x="313" s="1"/>
        <i x="337" s="1"/>
        <i x="338" s="1"/>
        <i x="339" s="1"/>
        <i x="340" s="1"/>
        <i x="341" s="1"/>
        <i x="342" s="1"/>
        <i x="343" s="1"/>
        <i x="344" s="1"/>
        <i x="345" s="1"/>
        <i x="346" s="1"/>
        <i x="347" s="1"/>
        <i x="348" s="1"/>
        <i x="349" s="1"/>
        <i x="350" s="1"/>
        <i x="351" s="1"/>
        <i x="352" s="1"/>
        <i x="353" s="1"/>
        <i x="354" s="1"/>
        <i x="355" s="1"/>
        <i x="356" s="1"/>
        <i x="357" s="1"/>
        <i x="379" s="1"/>
        <i x="380" s="1"/>
        <i x="381" s="1"/>
        <i x="382" s="1"/>
        <i x="383" s="1"/>
        <i x="384" s="1"/>
        <i x="385" s="1"/>
        <i x="386" s="1"/>
        <i x="387" s="1"/>
        <i x="388" s="1"/>
        <i x="389" s="1"/>
        <i x="390" s="1"/>
        <i x="391" s="1"/>
        <i x="392" s="1"/>
        <i x="393" s="1"/>
        <i x="394" s="1"/>
        <i x="395" s="1"/>
        <i x="396" s="1"/>
        <i x="397" s="1"/>
        <i x="398" s="1"/>
        <i x="399" s="1"/>
        <i x="400" s="1"/>
        <i x="422" s="1"/>
        <i x="423" s="1"/>
        <i x="424" s="1"/>
        <i x="425" s="1"/>
        <i x="426" s="1"/>
        <i x="427" s="1"/>
        <i x="428" s="1"/>
        <i x="429" s="1"/>
        <i x="430" s="1"/>
        <i x="431" s="1"/>
        <i x="432" s="1"/>
        <i x="433" s="1"/>
        <i x="434" s="1"/>
        <i x="435" s="1"/>
        <i x="436" s="1"/>
        <i x="437" s="1"/>
        <i x="438" s="1"/>
        <i x="439" s="1"/>
        <i x="440" s="1"/>
        <i x="441" s="1"/>
        <i x="463" s="1"/>
        <i x="464" s="1"/>
        <i x="465" s="1"/>
        <i x="466" s="1"/>
        <i x="467" s="1"/>
        <i x="468" s="1"/>
        <i x="469" s="1"/>
        <i x="470" s="1"/>
        <i x="471" s="1"/>
        <i x="472" s="1"/>
        <i x="473" s="1"/>
        <i x="474" s="1"/>
        <i x="475" s="1"/>
        <i x="476" s="1"/>
        <i x="477" s="1"/>
        <i x="478" s="1"/>
        <i x="479" s="1"/>
        <i x="480" s="1"/>
        <i x="481" s="1"/>
        <i x="482" s="1"/>
        <i x="483" s="1"/>
        <i x="484" s="1"/>
        <i x="0" s="1"/>
        <i x="1" s="1"/>
        <i x="2" s="1"/>
        <i x="3" s="1"/>
        <i x="4" s="1"/>
        <i x="5" s="1"/>
        <i x="6" s="1"/>
        <i x="7" s="1"/>
        <i x="8" s="1"/>
        <i x="9" s="1"/>
        <i x="10" s="1"/>
        <i x="11" s="1"/>
        <i x="12" s="1"/>
        <i x="13" s="1"/>
        <i x="14" s="1"/>
        <i x="15" s="1"/>
        <i x="16" s="1"/>
        <i x="17" s="1"/>
        <i x="18" s="1"/>
        <i x="48" s="1"/>
        <i x="49" s="1"/>
        <i x="50" s="1"/>
        <i x="51" s="1"/>
        <i x="52" s="1"/>
        <i x="53" s="1"/>
        <i x="54" s="1"/>
        <i x="55" s="1"/>
        <i x="56" s="1"/>
        <i x="57" s="1"/>
        <i x="58" s="1"/>
        <i x="59" s="1"/>
        <i x="60" s="1"/>
        <i x="61" s="1"/>
        <i x="62" s="1"/>
        <i x="63" s="1"/>
        <i x="64" s="1"/>
        <i x="65" s="1"/>
        <i x="66" s="1"/>
        <i x="67" s="1"/>
        <i x="102" s="1"/>
        <i x="103" s="1"/>
        <i x="104" s="1"/>
        <i x="105" s="1"/>
        <i x="106" s="1"/>
        <i x="107" s="1"/>
        <i x="108" s="1"/>
        <i x="109" s="1"/>
        <i x="110" s="1"/>
        <i x="111" s="1"/>
        <i x="112" s="1"/>
        <i x="113" s="1"/>
        <i x="114" s="1"/>
        <i x="115" s="1"/>
        <i x="116" s="1"/>
        <i x="117" s="1"/>
        <i x="118" s="1"/>
        <i x="119" s="1"/>
        <i x="120" s="1"/>
        <i x="121" s="1"/>
        <i x="122" s="1"/>
        <i x="123" s="1"/>
        <i x="145" s="1"/>
        <i x="146" s="1"/>
        <i x="147" s="1"/>
        <i x="148" s="1"/>
        <i x="149" s="1"/>
        <i x="150" s="1"/>
        <i x="151" s="1"/>
        <i x="152" s="1"/>
        <i x="153" s="1"/>
        <i x="154" s="1"/>
        <i x="155" s="1"/>
        <i x="156" s="1"/>
        <i x="157" s="1"/>
        <i x="158" s="1"/>
        <i x="159" s="1"/>
        <i x="160" s="1"/>
        <i x="161" s="1"/>
        <i x="162" s="1"/>
        <i x="163" s="1"/>
        <i x="164" s="1"/>
        <i x="165" s="1"/>
        <i x="186" s="1"/>
        <i x="187" s="1"/>
        <i x="188" s="1"/>
        <i x="189" s="1"/>
        <i x="190" s="1"/>
        <i x="191" s="1"/>
        <i x="192" s="1"/>
        <i x="193" s="1"/>
        <i x="194" s="1"/>
        <i x="195" s="1"/>
        <i x="196" s="1"/>
        <i x="197" s="1"/>
        <i x="198" s="1"/>
        <i x="199" s="1"/>
        <i x="200" s="1"/>
        <i x="201" s="1"/>
        <i x="202" s="1"/>
        <i x="203" s="1"/>
        <i x="204" s="1"/>
        <i x="205" s="1"/>
        <i x="206" s="1"/>
        <i x="229" s="1"/>
        <i x="230" s="1"/>
        <i x="231" s="1"/>
        <i x="232" s="1"/>
        <i x="233" s="1"/>
        <i x="234" s="1"/>
        <i x="235" s="1"/>
        <i x="236" s="1"/>
        <i x="237" s="1"/>
        <i x="238" s="1"/>
        <i x="239" s="1"/>
        <i x="240" s="1"/>
        <i x="241" s="1"/>
        <i x="242" s="1"/>
        <i x="243" s="1"/>
        <i x="244" s="1"/>
        <i x="245" s="1"/>
        <i x="246" s="1"/>
        <i x="247" s="1"/>
        <i x="248" s="1"/>
        <i x="249" s="1"/>
        <i x="250" s="1"/>
        <i x="273" s="1"/>
        <i x="274" s="1"/>
        <i x="275" s="1"/>
        <i x="276" s="1"/>
        <i x="277" s="1"/>
        <i x="278" s="1"/>
        <i x="279" s="1"/>
        <i x="280" s="1"/>
        <i x="281" s="1"/>
        <i x="282" s="1"/>
        <i x="283" s="1"/>
        <i x="284" s="1"/>
        <i x="285" s="1"/>
        <i x="286" s="1"/>
        <i x="287" s="1"/>
        <i x="288" s="1"/>
        <i x="289" s="1"/>
        <i x="290" s="1"/>
        <i x="291" s="1"/>
        <i x="292" s="1"/>
        <i x="314" s="1"/>
        <i x="315" s="1"/>
        <i x="316" s="1"/>
        <i x="317" s="1"/>
        <i x="318" s="1"/>
        <i x="319" s="1"/>
        <i x="320" s="1"/>
        <i x="321" s="1"/>
        <i x="322" s="1"/>
        <i x="323" s="1"/>
        <i x="324" s="1"/>
        <i x="325" s="1"/>
        <i x="326" s="1"/>
        <i x="327" s="1"/>
        <i x="328" s="1"/>
        <i x="329" s="1"/>
        <i x="330" s="1"/>
        <i x="331" s="1"/>
        <i x="332" s="1"/>
        <i x="333" s="1"/>
        <i x="334" s="1"/>
        <i x="335" s="1"/>
        <i x="336" s="1"/>
        <i x="358" s="1"/>
        <i x="359" s="1"/>
        <i x="360" s="1"/>
        <i x="361" s="1"/>
        <i x="362" s="1"/>
        <i x="363" s="1"/>
        <i x="364" s="1"/>
        <i x="365" s="1"/>
        <i x="366" s="1"/>
        <i x="367" s="1"/>
        <i x="368" s="1"/>
        <i x="369" s="1"/>
        <i x="370" s="1"/>
        <i x="371" s="1"/>
        <i x="372" s="1"/>
        <i x="373" s="1"/>
        <i x="374" s="1"/>
        <i x="375" s="1"/>
        <i x="376" s="1"/>
        <i x="377" s="1"/>
        <i x="378" s="1"/>
        <i x="401" s="1"/>
        <i x="402" s="1"/>
        <i x="403" s="1"/>
        <i x="404" s="1"/>
        <i x="405" s="1"/>
        <i x="406" s="1"/>
        <i x="407" s="1"/>
        <i x="408" s="1"/>
        <i x="409" s="1"/>
        <i x="410" s="1"/>
        <i x="411" s="1"/>
        <i x="412" s="1"/>
        <i x="413" s="1"/>
        <i x="414" s="1"/>
        <i x="415" s="1"/>
        <i x="416" s="1"/>
        <i x="417" s="1"/>
        <i x="418" s="1"/>
        <i x="419" s="1"/>
        <i x="420" s="1"/>
        <i x="421" s="1"/>
        <i x="442" s="1"/>
        <i x="443" s="1"/>
        <i x="444" s="1"/>
        <i x="445" s="1"/>
        <i x="446" s="1"/>
        <i x="447" s="1"/>
        <i x="448" s="1"/>
        <i x="449" s="1"/>
        <i x="450" s="1"/>
        <i x="451" s="1"/>
        <i x="452" s="1"/>
        <i x="453" s="1"/>
        <i x="454" s="1"/>
        <i x="455" s="1"/>
        <i x="456" s="1"/>
        <i x="457" s="1"/>
        <i x="458" s="1"/>
        <i x="459" s="1"/>
        <i x="460" s="1"/>
        <i x="461" s="1"/>
        <i x="462" s="1"/>
        <i x="485" s="1"/>
        <i x="486" s="1"/>
        <i x="487" s="1"/>
        <i x="488" s="1"/>
        <i x="489" s="1"/>
        <i x="490" s="1"/>
        <i x="491" s="1"/>
        <i x="492" s="1"/>
        <i x="493" s="1"/>
        <i x="494" s="1"/>
        <i x="495" s="1"/>
        <i x="496" s="1"/>
        <i x="497" s="1"/>
        <i x="498" s="1"/>
        <i x="499" s="1"/>
        <i x="500" s="1"/>
        <i x="501" s="1"/>
        <i x="502" s="1"/>
        <i x="503" s="1"/>
        <i x="504" s="1"/>
        <i x="505" s="1"/>
        <i x="19" s="1"/>
        <i x="20" s="1"/>
        <i x="21" s="1"/>
        <i x="22" s="1"/>
        <i x="23" s="1"/>
        <i x="24" s="1"/>
        <i x="25" s="1"/>
        <i x="26" s="1"/>
        <i x="27" s="1"/>
        <i x="28" s="1"/>
        <i x="29" s="1"/>
        <i x="30" s="1"/>
        <i x="31" s="1"/>
        <i x="32" s="1"/>
        <i x="33" s="1"/>
        <i x="34" s="1"/>
        <i x="35" s="1"/>
        <i x="36" s="1"/>
        <i x="37" s="1"/>
        <i x="38" s="1"/>
        <i x="68" s="1"/>
        <i x="69" s="1"/>
        <i x="70" s="1"/>
        <i x="71" s="1"/>
        <i x="72" s="1"/>
        <i x="73" s="1"/>
        <i x="74" s="1"/>
        <i x="75" s="1"/>
        <i x="76" s="1"/>
        <i x="77" s="1"/>
        <i x="78" s="1"/>
        <i x="7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C05450F-C309-4418-BB27-B255AF5A9ECA}" sourceName="Month">
  <pivotTables>
    <pivotTable tabId="8" name="PivotTable11"/>
    <pivotTable tabId="9" name="PivotTable8"/>
    <pivotTable tabId="3" name="PivotTable9"/>
  </pivotTables>
  <data>
    <tabular pivotCacheId="10690381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F9F8A14-1858-4816-AF2E-E8DFEC083B66}" sourceName="Year">
  <pivotTables>
    <pivotTable tabId="8" name="PivotTable11"/>
    <pivotTable tabId="9" name="PivotTable8"/>
    <pivotTable tabId="3" name="PivotTable9"/>
  </pivotTables>
  <data>
    <tabular pivotCacheId="10690381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45BF277-2DC3-476F-8F39-EBF40DF98547}" cache="Slicer_Date" caption="Date" rowHeight="251883"/>
  <slicer name="Month" xr10:uid="{1919FA51-B37D-4D16-8D3B-2A6932BCE790}" cache="Slicer_Month" caption="Month" rowHeight="251883"/>
  <slicer name="Year" xr10:uid="{D1D9A135-87C4-40D6-BF32-039AECE6942B}" cache="Slicer_Year"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C50074-D1C5-468E-B06F-25D6B21F04A1}" name="Table1" displayName="Table1" ref="A1:P507" totalsRowShown="0">
  <autoFilter ref="A1:P507" xr:uid="{F0C50074-D1C5-468E-B06F-25D6B21F04A1}"/>
  <sortState xmlns:xlrd2="http://schemas.microsoft.com/office/spreadsheetml/2017/richdata2" ref="A2:P507">
    <sortCondition ref="B2:B507" customList="Jan,Feb,Mar,Apr,May,Jun,Jul,Aug,Sep,Oct,Nov,Dec"/>
  </sortState>
  <tableColumns count="16">
    <tableColumn id="1" xr3:uid="{E0EE5CDF-BA40-42C5-9FA7-B0CA2CD6AF9F}" name="Date" dataDxfId="11"/>
    <tableColumn id="13" xr3:uid="{0655C588-8BE1-4E66-92D4-9B8A51F76D6A}" name="Month" dataDxfId="10">
      <calculatedColumnFormula>TEXT(Table1[[#This Row],[Date]],"mmm")</calculatedColumnFormula>
    </tableColumn>
    <tableColumn id="12" xr3:uid="{B88A5086-B302-4C4B-8637-5D10F5C10765}" name="Year" dataDxfId="9">
      <calculatedColumnFormula>YEAR(Table1[[#This Row],[Date]])</calculatedColumnFormula>
    </tableColumn>
    <tableColumn id="2" xr3:uid="{5FCBAB2D-A7B4-41AC-98F1-63D20E55CD8A}" name="AAPL.Open" dataDxfId="8"/>
    <tableColumn id="3" xr3:uid="{E59DEB7E-6722-4B4C-8D15-B729609C3C07}" name="AAPL.High" dataDxfId="7"/>
    <tableColumn id="4" xr3:uid="{E653F4C6-1928-4C08-B16D-98EFBE1A6BF6}" name="AAPL.Low" dataDxfId="6"/>
    <tableColumn id="5" xr3:uid="{3FA439DD-99EB-4DB7-AB40-144256E98764}" name="AAPL.Close" dataDxfId="5"/>
    <tableColumn id="6" xr3:uid="{E084E4C3-E20A-4E9D-9C7B-1BF405253073}" name="AAPL.Volume" dataDxfId="4"/>
    <tableColumn id="7" xr3:uid="{69460B83-4006-4D31-9979-DF5E20C7FC68}" name="AAPL.Adjusted"/>
    <tableColumn id="8" xr3:uid="{612DD631-0801-484C-8A72-254CE470166A}" name="dn"/>
    <tableColumn id="9" xr3:uid="{DA759023-3D21-4330-9291-898F8B640772}" name="mavg"/>
    <tableColumn id="10" xr3:uid="{532841D7-FD81-4E11-95D2-D02698AB1EB0}" name="up"/>
    <tableColumn id="14" xr3:uid="{5A985703-9886-4105-B897-4CC42611E1AD}" name="Price Range" dataDxfId="3">
      <calculatedColumnFormula>Table1[[#This Row],[AAPL.Close]] -Table1[[#This Row],[AAPL.Open]]</calculatedColumnFormula>
    </tableColumn>
    <tableColumn id="17" xr3:uid="{D1D38536-93B3-4AC0-B4A2-C82D4B32F2CA}" name="Change in stock %" dataDxfId="2">
      <calculatedColumnFormula>(Table1[[#This Row],[AAPL.Close]] - Table1[[#This Row],[AAPL.Open]]) /Table1[[#This Row],[AAPL.Open]]</calculatedColumnFormula>
    </tableColumn>
    <tableColumn id="16" xr3:uid="{2DBCADFE-04BE-4EE6-AC3E-872132C7B029}" name="Trend" dataDxfId="1">
      <calculatedColumnFormula>IF(Table1[[#This Row],[AAPL.Close]] &gt; Table1[[#This Row],[AAPL.Open]], "Up", "Down")</calculatedColumnFormula>
    </tableColumn>
    <tableColumn id="11" xr3:uid="{C3D6AC76-DA1C-48ED-B727-0BA9CDF381B3}" name="Direction"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FC3D-680C-411A-95DB-0146FC630A91}">
  <dimension ref="A3:B16"/>
  <sheetViews>
    <sheetView workbookViewId="0">
      <selection activeCell="C9" sqref="C9"/>
    </sheetView>
  </sheetViews>
  <sheetFormatPr defaultRowHeight="14.5" x14ac:dyDescent="0.35"/>
  <cols>
    <col min="1" max="1" width="12.453125" bestFit="1" customWidth="1"/>
    <col min="2" max="2" width="19.36328125" bestFit="1" customWidth="1"/>
  </cols>
  <sheetData>
    <row r="3" spans="1:2" x14ac:dyDescent="0.35">
      <c r="A3" s="6" t="s">
        <v>17</v>
      </c>
      <c r="B3" t="s">
        <v>31</v>
      </c>
    </row>
    <row r="4" spans="1:2" x14ac:dyDescent="0.35">
      <c r="A4" s="7" t="s">
        <v>18</v>
      </c>
      <c r="B4" s="5">
        <v>109.2705121025641</v>
      </c>
    </row>
    <row r="5" spans="1:2" x14ac:dyDescent="0.35">
      <c r="A5" s="7" t="s">
        <v>19</v>
      </c>
      <c r="B5" s="5">
        <v>113.80975539024388</v>
      </c>
    </row>
    <row r="6" spans="1:2" x14ac:dyDescent="0.35">
      <c r="A6" s="7" t="s">
        <v>20</v>
      </c>
      <c r="B6" s="5">
        <v>115.11909065909093</v>
      </c>
    </row>
    <row r="7" spans="1:2" x14ac:dyDescent="0.35">
      <c r="A7" s="7" t="s">
        <v>21</v>
      </c>
      <c r="B7" s="5">
        <v>117.01523769047617</v>
      </c>
    </row>
    <row r="8" spans="1:2" x14ac:dyDescent="0.35">
      <c r="A8" s="7" t="s">
        <v>22</v>
      </c>
      <c r="B8" s="5">
        <v>111.45609726829267</v>
      </c>
    </row>
    <row r="9" spans="1:2" x14ac:dyDescent="0.35">
      <c r="A9" s="7" t="s">
        <v>23</v>
      </c>
      <c r="B9" s="5">
        <v>112.21454511363636</v>
      </c>
    </row>
    <row r="10" spans="1:2" x14ac:dyDescent="0.35">
      <c r="A10" s="7" t="s">
        <v>24</v>
      </c>
      <c r="B10" s="5">
        <v>112.58357147619043</v>
      </c>
    </row>
    <row r="11" spans="1:2" x14ac:dyDescent="0.35">
      <c r="A11" s="7" t="s">
        <v>25</v>
      </c>
      <c r="B11" s="5">
        <v>110.39977331818181</v>
      </c>
    </row>
    <row r="12" spans="1:2" x14ac:dyDescent="0.35">
      <c r="A12" s="7" t="s">
        <v>26</v>
      </c>
      <c r="B12" s="5">
        <v>111.82738064285715</v>
      </c>
    </row>
    <row r="13" spans="1:2" x14ac:dyDescent="0.35">
      <c r="A13" s="7" t="s">
        <v>27</v>
      </c>
      <c r="B13" s="5">
        <v>114.50627918604647</v>
      </c>
    </row>
    <row r="14" spans="1:2" x14ac:dyDescent="0.35">
      <c r="A14" s="7" t="s">
        <v>28</v>
      </c>
      <c r="B14" s="5">
        <v>114.06073131707319</v>
      </c>
    </row>
    <row r="15" spans="1:2" x14ac:dyDescent="0.35">
      <c r="A15" s="7" t="s">
        <v>29</v>
      </c>
      <c r="B15" s="5">
        <v>113.00093027906976</v>
      </c>
    </row>
    <row r="16" spans="1:2" x14ac:dyDescent="0.35">
      <c r="A16" s="7" t="s">
        <v>30</v>
      </c>
      <c r="B16" s="5">
        <v>112.95833971146237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F22C-9D99-4B09-BECE-1335C80ACD4D}">
  <dimension ref="A3:B16"/>
  <sheetViews>
    <sheetView workbookViewId="0">
      <selection activeCell="L6" sqref="L6"/>
    </sheetView>
  </sheetViews>
  <sheetFormatPr defaultRowHeight="14.5" x14ac:dyDescent="0.35"/>
  <cols>
    <col min="1" max="1" width="12.453125" bestFit="1" customWidth="1"/>
    <col min="2" max="2" width="18.26953125" bestFit="1" customWidth="1"/>
    <col min="4" max="4" width="12.453125" bestFit="1" customWidth="1"/>
    <col min="5" max="5" width="18.26953125" bestFit="1" customWidth="1"/>
  </cols>
  <sheetData>
    <row r="3" spans="1:2" x14ac:dyDescent="0.35">
      <c r="A3" s="6" t="s">
        <v>17</v>
      </c>
      <c r="B3" t="s">
        <v>32</v>
      </c>
    </row>
    <row r="4" spans="1:2" x14ac:dyDescent="0.35">
      <c r="A4" s="7" t="s">
        <v>18</v>
      </c>
      <c r="B4" s="1">
        <v>1833971800</v>
      </c>
    </row>
    <row r="5" spans="1:2" x14ac:dyDescent="0.35">
      <c r="A5" s="7" t="s">
        <v>19</v>
      </c>
      <c r="B5" s="1">
        <v>1793556100</v>
      </c>
    </row>
    <row r="6" spans="1:2" x14ac:dyDescent="0.35">
      <c r="A6" s="7" t="s">
        <v>20</v>
      </c>
      <c r="B6" s="1">
        <v>1884691700</v>
      </c>
    </row>
    <row r="7" spans="1:2" x14ac:dyDescent="0.35">
      <c r="A7" s="7" t="s">
        <v>21</v>
      </c>
      <c r="B7" s="1">
        <v>1868531700</v>
      </c>
    </row>
    <row r="8" spans="1:2" x14ac:dyDescent="0.35">
      <c r="A8" s="7" t="s">
        <v>22</v>
      </c>
      <c r="B8" s="1">
        <v>1854470200</v>
      </c>
    </row>
    <row r="9" spans="1:2" x14ac:dyDescent="0.35">
      <c r="A9" s="7" t="s">
        <v>23</v>
      </c>
      <c r="B9" s="1">
        <v>1657568300</v>
      </c>
    </row>
    <row r="10" spans="1:2" x14ac:dyDescent="0.35">
      <c r="A10" s="7" t="s">
        <v>24</v>
      </c>
      <c r="B10" s="1">
        <v>1743286800</v>
      </c>
    </row>
    <row r="11" spans="1:2" x14ac:dyDescent="0.35">
      <c r="A11" s="7" t="s">
        <v>25</v>
      </c>
      <c r="B11" s="1">
        <v>2236106800</v>
      </c>
    </row>
    <row r="12" spans="1:2" x14ac:dyDescent="0.35">
      <c r="A12" s="7" t="s">
        <v>26</v>
      </c>
      <c r="B12" s="1">
        <v>2174562900</v>
      </c>
    </row>
    <row r="13" spans="1:2" x14ac:dyDescent="0.35">
      <c r="A13" s="7" t="s">
        <v>27</v>
      </c>
      <c r="B13" s="1">
        <v>1799237400</v>
      </c>
    </row>
    <row r="14" spans="1:2" x14ac:dyDescent="0.35">
      <c r="A14" s="7" t="s">
        <v>28</v>
      </c>
      <c r="B14" s="1">
        <v>1471995900</v>
      </c>
    </row>
    <row r="15" spans="1:2" x14ac:dyDescent="0.35">
      <c r="A15" s="7" t="s">
        <v>29</v>
      </c>
      <c r="B15" s="1">
        <v>1530301400</v>
      </c>
    </row>
    <row r="16" spans="1:2" x14ac:dyDescent="0.35">
      <c r="A16" s="7" t="s">
        <v>30</v>
      </c>
      <c r="B16" s="1">
        <v>21848281000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9EE5-D02D-498B-8E36-795A712FA05F}">
  <dimension ref="A3:B6"/>
  <sheetViews>
    <sheetView topLeftCell="A2" workbookViewId="0">
      <selection activeCell="B4" sqref="B4"/>
    </sheetView>
  </sheetViews>
  <sheetFormatPr defaultRowHeight="14.5" x14ac:dyDescent="0.35"/>
  <cols>
    <col min="1" max="1" width="18.90625" customWidth="1"/>
    <col min="2" max="2" width="12.1796875" bestFit="1" customWidth="1"/>
  </cols>
  <sheetData>
    <row r="3" spans="1:2" x14ac:dyDescent="0.35">
      <c r="A3" s="6" t="s">
        <v>37</v>
      </c>
      <c r="B3" t="s">
        <v>33</v>
      </c>
    </row>
    <row r="4" spans="1:2" x14ac:dyDescent="0.35">
      <c r="A4" s="7" t="s">
        <v>35</v>
      </c>
      <c r="B4">
        <v>229</v>
      </c>
    </row>
    <row r="5" spans="1:2" x14ac:dyDescent="0.35">
      <c r="A5" s="7" t="s">
        <v>36</v>
      </c>
      <c r="B5">
        <v>277</v>
      </c>
    </row>
    <row r="6" spans="1:2" x14ac:dyDescent="0.35">
      <c r="A6" s="7" t="s">
        <v>30</v>
      </c>
      <c r="B6">
        <v>506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E1149-144D-4C0F-B772-A9F4ED87ADB3}">
  <dimension ref="A3:B16"/>
  <sheetViews>
    <sheetView topLeftCell="A2" workbookViewId="0">
      <selection activeCell="B6" sqref="B6"/>
    </sheetView>
  </sheetViews>
  <sheetFormatPr defaultRowHeight="14.5" x14ac:dyDescent="0.35"/>
  <cols>
    <col min="1" max="1" width="10.36328125" bestFit="1" customWidth="1"/>
    <col min="2" max="2" width="25.26953125" bestFit="1" customWidth="1"/>
    <col min="4" max="4" width="10.36328125" bestFit="1" customWidth="1"/>
    <col min="5" max="5" width="25.26953125" bestFit="1" customWidth="1"/>
  </cols>
  <sheetData>
    <row r="3" spans="1:2" x14ac:dyDescent="0.35">
      <c r="A3" s="6" t="s">
        <v>40</v>
      </c>
      <c r="B3" t="s">
        <v>39</v>
      </c>
    </row>
    <row r="4" spans="1:2" x14ac:dyDescent="0.35">
      <c r="A4" s="7" t="s">
        <v>18</v>
      </c>
      <c r="B4" s="4">
        <v>7.8264378338403729E-4</v>
      </c>
    </row>
    <row r="5" spans="1:2" x14ac:dyDescent="0.35">
      <c r="A5" s="7" t="s">
        <v>19</v>
      </c>
      <c r="B5" s="4">
        <v>2.1278058927685626E-3</v>
      </c>
    </row>
    <row r="6" spans="1:2" x14ac:dyDescent="0.35">
      <c r="A6" s="7" t="s">
        <v>20</v>
      </c>
      <c r="B6" s="4">
        <v>2.985437357434975E-4</v>
      </c>
    </row>
    <row r="7" spans="1:2" x14ac:dyDescent="0.35">
      <c r="A7" s="7" t="s">
        <v>21</v>
      </c>
      <c r="B7" s="4">
        <v>-1.1141880803308343E-3</v>
      </c>
    </row>
    <row r="8" spans="1:2" x14ac:dyDescent="0.35">
      <c r="A8" s="7" t="s">
        <v>22</v>
      </c>
      <c r="B8" s="4">
        <v>2.7528339300322033E-4</v>
      </c>
    </row>
    <row r="9" spans="1:2" x14ac:dyDescent="0.35">
      <c r="A9" s="7" t="s">
        <v>23</v>
      </c>
      <c r="B9" s="4">
        <v>-6.0718365786765691E-4</v>
      </c>
    </row>
    <row r="10" spans="1:2" x14ac:dyDescent="0.35">
      <c r="A10" s="7" t="s">
        <v>24</v>
      </c>
      <c r="B10" s="4">
        <v>6.4301506296176716E-5</v>
      </c>
    </row>
    <row r="11" spans="1:2" x14ac:dyDescent="0.35">
      <c r="A11" s="7" t="s">
        <v>25</v>
      </c>
      <c r="B11" s="4">
        <v>1.203308858600942E-3</v>
      </c>
    </row>
    <row r="12" spans="1:2" x14ac:dyDescent="0.35">
      <c r="A12" s="7" t="s">
        <v>26</v>
      </c>
      <c r="B12" s="4">
        <v>-2.1802926911518459E-5</v>
      </c>
    </row>
    <row r="13" spans="1:2" x14ac:dyDescent="0.35">
      <c r="A13" s="7" t="s">
        <v>27</v>
      </c>
      <c r="B13" s="4">
        <v>1.8730445563399636E-3</v>
      </c>
    </row>
    <row r="14" spans="1:2" x14ac:dyDescent="0.35">
      <c r="A14" s="7" t="s">
        <v>28</v>
      </c>
      <c r="B14" s="4">
        <v>1.8711940022422401E-4</v>
      </c>
    </row>
    <row r="15" spans="1:2" x14ac:dyDescent="0.35">
      <c r="A15" s="7" t="s">
        <v>29</v>
      </c>
      <c r="B15" s="4">
        <v>-1.0968780631437135E-3</v>
      </c>
    </row>
    <row r="16" spans="1:2" x14ac:dyDescent="0.35">
      <c r="A16" s="7" t="s">
        <v>30</v>
      </c>
      <c r="B16" s="4">
        <v>3.2500256334089261E-4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F148-C49B-4975-BC4D-A7E0A10E0622}">
  <dimension ref="A1:P507"/>
  <sheetViews>
    <sheetView topLeftCell="A2" workbookViewId="0">
      <selection activeCell="C6" sqref="C6"/>
    </sheetView>
  </sheetViews>
  <sheetFormatPr defaultRowHeight="14.5" x14ac:dyDescent="0.35"/>
  <cols>
    <col min="1" max="1" width="15.08984375" style="3" customWidth="1"/>
    <col min="2" max="2" width="15.08984375" style="2" customWidth="1"/>
    <col min="3" max="3" width="15.08984375" style="1" customWidth="1"/>
    <col min="4" max="4" width="15.1796875" style="5" customWidth="1"/>
    <col min="5" max="5" width="14.08984375" style="5" customWidth="1"/>
    <col min="6" max="6" width="13.453125" style="5" customWidth="1"/>
    <col min="7" max="7" width="14.26953125" style="5" customWidth="1"/>
    <col min="8" max="8" width="13.6328125" style="1" customWidth="1"/>
    <col min="9" max="9" width="14.6328125" hidden="1" customWidth="1"/>
    <col min="10" max="10" width="15.453125" hidden="1" customWidth="1"/>
    <col min="11" max="11" width="16.453125" hidden="1" customWidth="1"/>
    <col min="12" max="12" width="14" hidden="1" customWidth="1"/>
    <col min="13" max="13" width="12.36328125" style="5" customWidth="1"/>
    <col min="14" max="15" width="18.08984375" style="4" customWidth="1"/>
    <col min="16" max="16" width="22.36328125" style="2" customWidth="1"/>
  </cols>
  <sheetData>
    <row r="1" spans="1:16" x14ac:dyDescent="0.35">
      <c r="A1" s="3" t="s">
        <v>0</v>
      </c>
      <c r="B1" s="2" t="s">
        <v>13</v>
      </c>
      <c r="C1" s="1" t="s">
        <v>14</v>
      </c>
      <c r="D1" s="5" t="s">
        <v>1</v>
      </c>
      <c r="E1" s="5" t="s">
        <v>2</v>
      </c>
      <c r="F1" s="5" t="s">
        <v>3</v>
      </c>
      <c r="G1" s="5" t="s">
        <v>4</v>
      </c>
      <c r="H1" s="1" t="s">
        <v>5</v>
      </c>
      <c r="I1" t="s">
        <v>6</v>
      </c>
      <c r="J1" t="s">
        <v>7</v>
      </c>
      <c r="K1" t="s">
        <v>8</v>
      </c>
      <c r="L1" t="s">
        <v>9</v>
      </c>
      <c r="M1" s="5" t="s">
        <v>15</v>
      </c>
      <c r="N1" s="4" t="s">
        <v>16</v>
      </c>
      <c r="O1" s="4" t="s">
        <v>34</v>
      </c>
      <c r="P1" s="2" t="s">
        <v>12</v>
      </c>
    </row>
    <row r="2" spans="1:16" x14ac:dyDescent="0.35">
      <c r="A2" s="3">
        <v>42373</v>
      </c>
      <c r="B2" s="2" t="str">
        <f>TEXT(Table1[[#This Row],[Date]],"mmm")</f>
        <v>Jan</v>
      </c>
      <c r="C2" s="1">
        <f>YEAR(Table1[[#This Row],[Date]])</f>
        <v>2016</v>
      </c>
      <c r="D2" s="5">
        <v>102.610001</v>
      </c>
      <c r="E2" s="5">
        <v>105.370003</v>
      </c>
      <c r="F2" s="5">
        <v>102</v>
      </c>
      <c r="G2" s="5">
        <v>105.349998</v>
      </c>
      <c r="H2" s="1">
        <v>67649400</v>
      </c>
      <c r="I2">
        <v>102.612183</v>
      </c>
      <c r="J2">
        <v>101.95804269999999</v>
      </c>
      <c r="K2">
        <v>110.7301667</v>
      </c>
      <c r="L2">
        <v>119.5022907</v>
      </c>
      <c r="M2" s="5">
        <f>Table1[[#This Row],[AAPL.Close]] -Table1[[#This Row],[AAPL.Open]]</f>
        <v>2.7399970000000025</v>
      </c>
      <c r="N2" s="4">
        <f>(Table1[[#This Row],[AAPL.Close]] - Table1[[#This Row],[AAPL.Open]]) /Table1[[#This Row],[AAPL.Open]]</f>
        <v>2.670302088779828E-2</v>
      </c>
      <c r="O2" s="4" t="str">
        <f>IF(Table1[[#This Row],[AAPL.Close]] &gt; Table1[[#This Row],[AAPL.Open]], "Up", "Down")</f>
        <v>Up</v>
      </c>
      <c r="P2" s="2" t="s">
        <v>10</v>
      </c>
    </row>
    <row r="3" spans="1:16" x14ac:dyDescent="0.35">
      <c r="A3" s="3">
        <v>42374</v>
      </c>
      <c r="B3" s="2" t="str">
        <f>TEXT(Table1[[#This Row],[Date]],"mmm")</f>
        <v>Jan</v>
      </c>
      <c r="C3" s="1">
        <f>YEAR(Table1[[#This Row],[Date]])</f>
        <v>2016</v>
      </c>
      <c r="D3" s="5">
        <v>105.75</v>
      </c>
      <c r="E3" s="5">
        <v>105.849998</v>
      </c>
      <c r="F3" s="5">
        <v>102.410004</v>
      </c>
      <c r="G3" s="5">
        <v>102.709999</v>
      </c>
      <c r="H3" s="1">
        <v>55791000</v>
      </c>
      <c r="I3">
        <v>100.040792</v>
      </c>
      <c r="J3">
        <v>101.3646127</v>
      </c>
      <c r="K3">
        <v>110.0231668</v>
      </c>
      <c r="L3">
        <v>118.68172079999999</v>
      </c>
      <c r="M3" s="5">
        <f>Table1[[#This Row],[AAPL.Close]] -Table1[[#This Row],[AAPL.Open]]</f>
        <v>-3.0400010000000037</v>
      </c>
      <c r="N3" s="4">
        <f>(Table1[[#This Row],[AAPL.Close]] - Table1[[#This Row],[AAPL.Open]]) /Table1[[#This Row],[AAPL.Open]]</f>
        <v>-2.8747054373522495E-2</v>
      </c>
      <c r="O3" s="4" t="str">
        <f>IF(Table1[[#This Row],[AAPL.Close]] &gt; Table1[[#This Row],[AAPL.Open]], "Up", "Down")</f>
        <v>Down</v>
      </c>
      <c r="P3" s="2" t="s">
        <v>11</v>
      </c>
    </row>
    <row r="4" spans="1:16" x14ac:dyDescent="0.35">
      <c r="A4" s="3">
        <v>42375</v>
      </c>
      <c r="B4" s="2" t="str">
        <f>TEXT(Table1[[#This Row],[Date]],"mmm")</f>
        <v>Jan</v>
      </c>
      <c r="C4" s="1">
        <f>YEAR(Table1[[#This Row],[Date]])</f>
        <v>2016</v>
      </c>
      <c r="D4" s="5">
        <v>100.55999799999999</v>
      </c>
      <c r="E4" s="5">
        <v>102.370003</v>
      </c>
      <c r="F4" s="5">
        <v>99.870002999999997</v>
      </c>
      <c r="G4" s="5">
        <v>100.699997</v>
      </c>
      <c r="H4" s="1">
        <v>68457400</v>
      </c>
      <c r="I4">
        <v>98.083025000000006</v>
      </c>
      <c r="J4">
        <v>100.5769808</v>
      </c>
      <c r="K4">
        <v>109.1396668</v>
      </c>
      <c r="L4">
        <v>117.70235289999999</v>
      </c>
      <c r="M4" s="5">
        <f>Table1[[#This Row],[AAPL.Close]] -Table1[[#This Row],[AAPL.Open]]</f>
        <v>0.13999900000000309</v>
      </c>
      <c r="N4" s="4">
        <f>(Table1[[#This Row],[AAPL.Close]] - Table1[[#This Row],[AAPL.Open]]) /Table1[[#This Row],[AAPL.Open]]</f>
        <v>1.3921937428837568E-3</v>
      </c>
      <c r="O4" s="4" t="str">
        <f>IF(Table1[[#This Row],[AAPL.Close]] &gt; Table1[[#This Row],[AAPL.Open]], "Up", "Down")</f>
        <v>Up</v>
      </c>
      <c r="P4" s="2" t="s">
        <v>10</v>
      </c>
    </row>
    <row r="5" spans="1:16" x14ac:dyDescent="0.35">
      <c r="A5" s="3">
        <v>42376</v>
      </c>
      <c r="B5" s="2" t="str">
        <f>TEXT(Table1[[#This Row],[Date]],"mmm")</f>
        <v>Jan</v>
      </c>
      <c r="C5" s="1">
        <f>YEAR(Table1[[#This Row],[Date]])</f>
        <v>2016</v>
      </c>
      <c r="D5" s="5">
        <v>98.68</v>
      </c>
      <c r="E5" s="5">
        <v>100.129997</v>
      </c>
      <c r="F5" s="5">
        <v>96.43</v>
      </c>
      <c r="G5" s="5">
        <v>96.449996999999996</v>
      </c>
      <c r="H5" s="1">
        <v>81094400</v>
      </c>
      <c r="I5">
        <v>93.943472999999997</v>
      </c>
      <c r="J5">
        <v>99.172773109999994</v>
      </c>
      <c r="K5">
        <v>108.1283334</v>
      </c>
      <c r="L5">
        <v>117.0838936</v>
      </c>
      <c r="M5" s="5">
        <f>Table1[[#This Row],[AAPL.Close]] -Table1[[#This Row],[AAPL.Open]]</f>
        <v>-2.2300030000000106</v>
      </c>
      <c r="N5" s="4">
        <f>(Table1[[#This Row],[AAPL.Close]] - Table1[[#This Row],[AAPL.Open]]) /Table1[[#This Row],[AAPL.Open]]</f>
        <v>-2.2598327928658395E-2</v>
      </c>
      <c r="O5" s="4" t="str">
        <f>IF(Table1[[#This Row],[AAPL.Close]] &gt; Table1[[#This Row],[AAPL.Open]], "Up", "Down")</f>
        <v>Down</v>
      </c>
      <c r="P5" s="2" t="s">
        <v>11</v>
      </c>
    </row>
    <row r="6" spans="1:16" x14ac:dyDescent="0.35">
      <c r="A6" s="3">
        <v>42377</v>
      </c>
      <c r="B6" s="2" t="str">
        <f>TEXT(Table1[[#This Row],[Date]],"mmm")</f>
        <v>Jan</v>
      </c>
      <c r="C6" s="1">
        <f>YEAR(Table1[[#This Row],[Date]])</f>
        <v>2016</v>
      </c>
      <c r="D6" s="5">
        <v>98.550003000000004</v>
      </c>
      <c r="E6" s="5">
        <v>99.110000999999997</v>
      </c>
      <c r="F6" s="5">
        <v>96.760002</v>
      </c>
      <c r="G6" s="5">
        <v>96.959998999999996</v>
      </c>
      <c r="H6" s="1">
        <v>70798000</v>
      </c>
      <c r="I6">
        <v>94.440222000000006</v>
      </c>
      <c r="J6">
        <v>97.923654600000006</v>
      </c>
      <c r="K6">
        <v>107.20233330000001</v>
      </c>
      <c r="L6">
        <v>116.48101200000001</v>
      </c>
      <c r="M6" s="5">
        <f>Table1[[#This Row],[AAPL.Close]] -Table1[[#This Row],[AAPL.Open]]</f>
        <v>-1.5900040000000075</v>
      </c>
      <c r="N6" s="4">
        <f>(Table1[[#This Row],[AAPL.Close]] - Table1[[#This Row],[AAPL.Open]]) /Table1[[#This Row],[AAPL.Open]]</f>
        <v>-1.6133982258732225E-2</v>
      </c>
      <c r="O6" s="4" t="str">
        <f>IF(Table1[[#This Row],[AAPL.Close]] &gt; Table1[[#This Row],[AAPL.Open]], "Up", "Down")</f>
        <v>Down</v>
      </c>
      <c r="P6" s="2" t="s">
        <v>11</v>
      </c>
    </row>
    <row r="7" spans="1:16" x14ac:dyDescent="0.35">
      <c r="A7" s="3">
        <v>42380</v>
      </c>
      <c r="B7" s="2" t="str">
        <f>TEXT(Table1[[#This Row],[Date]],"mmm")</f>
        <v>Jan</v>
      </c>
      <c r="C7" s="1">
        <f>YEAR(Table1[[#This Row],[Date]])</f>
        <v>2016</v>
      </c>
      <c r="D7" s="5">
        <v>98.970000999999996</v>
      </c>
      <c r="E7" s="5">
        <v>99.059997999999993</v>
      </c>
      <c r="F7" s="5">
        <v>97.339995999999999</v>
      </c>
      <c r="G7" s="5">
        <v>98.529999000000004</v>
      </c>
      <c r="H7" s="1">
        <v>49739400</v>
      </c>
      <c r="I7">
        <v>95.96942</v>
      </c>
      <c r="J7">
        <v>97.225094249999998</v>
      </c>
      <c r="K7">
        <v>106.3074998</v>
      </c>
      <c r="L7">
        <v>115.3899053</v>
      </c>
      <c r="M7" s="5">
        <f>Table1[[#This Row],[AAPL.Close]] -Table1[[#This Row],[AAPL.Open]]</f>
        <v>-0.44000199999999268</v>
      </c>
      <c r="N7" s="4">
        <f>(Table1[[#This Row],[AAPL.Close]] - Table1[[#This Row],[AAPL.Open]]) /Table1[[#This Row],[AAPL.Open]]</f>
        <v>-4.4458118172595821E-3</v>
      </c>
      <c r="O7" s="4" t="str">
        <f>IF(Table1[[#This Row],[AAPL.Close]] &gt; Table1[[#This Row],[AAPL.Open]], "Up", "Down")</f>
        <v>Down</v>
      </c>
      <c r="P7" s="2" t="s">
        <v>11</v>
      </c>
    </row>
    <row r="8" spans="1:16" x14ac:dyDescent="0.35">
      <c r="A8" s="3">
        <v>42381</v>
      </c>
      <c r="B8" s="2" t="str">
        <f>TEXT(Table1[[#This Row],[Date]],"mmm")</f>
        <v>Jan</v>
      </c>
      <c r="C8" s="1">
        <f>YEAR(Table1[[#This Row],[Date]])</f>
        <v>2016</v>
      </c>
      <c r="D8" s="5">
        <v>100.550003</v>
      </c>
      <c r="E8" s="5">
        <v>100.69000200000001</v>
      </c>
      <c r="F8" s="5">
        <v>98.839995999999999</v>
      </c>
      <c r="G8" s="5">
        <v>99.959998999999996</v>
      </c>
      <c r="H8" s="1">
        <v>49154200</v>
      </c>
      <c r="I8">
        <v>97.362257999999997</v>
      </c>
      <c r="J8">
        <v>96.794999579999995</v>
      </c>
      <c r="K8">
        <v>105.6086665</v>
      </c>
      <c r="L8">
        <v>114.4223334</v>
      </c>
      <c r="M8" s="5">
        <f>Table1[[#This Row],[AAPL.Close]] -Table1[[#This Row],[AAPL.Open]]</f>
        <v>-0.59000400000000752</v>
      </c>
      <c r="N8" s="4">
        <f>(Table1[[#This Row],[AAPL.Close]] - Table1[[#This Row],[AAPL.Open]]) /Table1[[#This Row],[AAPL.Open]]</f>
        <v>-5.8677671048901663E-3</v>
      </c>
      <c r="O8" s="4" t="str">
        <f>IF(Table1[[#This Row],[AAPL.Close]] &gt; Table1[[#This Row],[AAPL.Open]], "Up", "Down")</f>
        <v>Down</v>
      </c>
      <c r="P8" s="2" t="s">
        <v>11</v>
      </c>
    </row>
    <row r="9" spans="1:16" x14ac:dyDescent="0.35">
      <c r="A9" s="3">
        <v>42382</v>
      </c>
      <c r="B9" s="2" t="str">
        <f>TEXT(Table1[[#This Row],[Date]],"mmm")</f>
        <v>Jan</v>
      </c>
      <c r="C9" s="1">
        <f>YEAR(Table1[[#This Row],[Date]])</f>
        <v>2016</v>
      </c>
      <c r="D9" s="5">
        <v>100.32</v>
      </c>
      <c r="E9" s="5">
        <v>101.19000200000001</v>
      </c>
      <c r="F9" s="5">
        <v>97.300003000000004</v>
      </c>
      <c r="G9" s="5">
        <v>97.389999000000003</v>
      </c>
      <c r="H9" s="1">
        <v>62439600</v>
      </c>
      <c r="I9">
        <v>94.859047000000004</v>
      </c>
      <c r="J9">
        <v>96.101159300000006</v>
      </c>
      <c r="K9">
        <v>104.95749979999999</v>
      </c>
      <c r="L9">
        <v>113.8138403</v>
      </c>
      <c r="M9" s="5">
        <f>Table1[[#This Row],[AAPL.Close]] -Table1[[#This Row],[AAPL.Open]]</f>
        <v>-2.9300009999999901</v>
      </c>
      <c r="N9" s="4">
        <f>(Table1[[#This Row],[AAPL.Close]] - Table1[[#This Row],[AAPL.Open]]) /Table1[[#This Row],[AAPL.Open]]</f>
        <v>-2.9206549043062104E-2</v>
      </c>
      <c r="O9" s="4" t="str">
        <f>IF(Table1[[#This Row],[AAPL.Close]] &gt; Table1[[#This Row],[AAPL.Open]], "Up", "Down")</f>
        <v>Down</v>
      </c>
      <c r="P9" s="2" t="s">
        <v>11</v>
      </c>
    </row>
    <row r="10" spans="1:16" x14ac:dyDescent="0.35">
      <c r="A10" s="3">
        <v>42383</v>
      </c>
      <c r="B10" s="2" t="str">
        <f>TEXT(Table1[[#This Row],[Date]],"mmm")</f>
        <v>Jan</v>
      </c>
      <c r="C10" s="1">
        <f>YEAR(Table1[[#This Row],[Date]])</f>
        <v>2016</v>
      </c>
      <c r="D10" s="5">
        <v>97.959998999999996</v>
      </c>
      <c r="E10" s="5">
        <v>100.480003</v>
      </c>
      <c r="F10" s="5">
        <v>95.739998</v>
      </c>
      <c r="G10" s="5">
        <v>99.519997000000004</v>
      </c>
      <c r="H10" s="1">
        <v>63170100</v>
      </c>
      <c r="I10">
        <v>96.933689999999999</v>
      </c>
      <c r="J10">
        <v>95.542543960000003</v>
      </c>
      <c r="K10">
        <v>104.3258331</v>
      </c>
      <c r="L10">
        <v>113.1091223</v>
      </c>
      <c r="M10" s="5">
        <f>Table1[[#This Row],[AAPL.Close]] -Table1[[#This Row],[AAPL.Open]]</f>
        <v>1.5599980000000073</v>
      </c>
      <c r="N10" s="4">
        <f>(Table1[[#This Row],[AAPL.Close]] - Table1[[#This Row],[AAPL.Open]]) /Table1[[#This Row],[AAPL.Open]]</f>
        <v>1.5924847038840898E-2</v>
      </c>
      <c r="O10" s="4" t="str">
        <f>IF(Table1[[#This Row],[AAPL.Close]] &gt; Table1[[#This Row],[AAPL.Open]], "Up", "Down")</f>
        <v>Up</v>
      </c>
      <c r="P10" s="2" t="s">
        <v>10</v>
      </c>
    </row>
    <row r="11" spans="1:16" x14ac:dyDescent="0.35">
      <c r="A11" s="3">
        <v>42384</v>
      </c>
      <c r="B11" s="2" t="str">
        <f>TEXT(Table1[[#This Row],[Date]],"mmm")</f>
        <v>Jan</v>
      </c>
      <c r="C11" s="1">
        <f>YEAR(Table1[[#This Row],[Date]])</f>
        <v>2016</v>
      </c>
      <c r="D11" s="5">
        <v>96.199996999999996</v>
      </c>
      <c r="E11" s="5">
        <v>97.709998999999996</v>
      </c>
      <c r="F11" s="5">
        <v>95.360000999999997</v>
      </c>
      <c r="G11" s="5">
        <v>97.129997000000003</v>
      </c>
      <c r="H11" s="1">
        <v>79010000</v>
      </c>
      <c r="I11">
        <v>94.605801999999997</v>
      </c>
      <c r="J11">
        <v>94.763005469999996</v>
      </c>
      <c r="K11">
        <v>103.62699979999999</v>
      </c>
      <c r="L11">
        <v>112.49099409999999</v>
      </c>
      <c r="M11" s="5">
        <f>Table1[[#This Row],[AAPL.Close]] -Table1[[#This Row],[AAPL.Open]]</f>
        <v>0.93000000000000682</v>
      </c>
      <c r="N11" s="4">
        <f>(Table1[[#This Row],[AAPL.Close]] - Table1[[#This Row],[AAPL.Open]]) /Table1[[#This Row],[AAPL.Open]]</f>
        <v>9.6673599688366606E-3</v>
      </c>
      <c r="O11" s="4" t="str">
        <f>IF(Table1[[#This Row],[AAPL.Close]] &gt; Table1[[#This Row],[AAPL.Open]], "Up", "Down")</f>
        <v>Up</v>
      </c>
      <c r="P11" s="2" t="s">
        <v>10</v>
      </c>
    </row>
    <row r="12" spans="1:16" x14ac:dyDescent="0.35">
      <c r="A12" s="3">
        <v>42388</v>
      </c>
      <c r="B12" s="2" t="str">
        <f>TEXT(Table1[[#This Row],[Date]],"mmm")</f>
        <v>Jan</v>
      </c>
      <c r="C12" s="1">
        <f>YEAR(Table1[[#This Row],[Date]])</f>
        <v>2016</v>
      </c>
      <c r="D12" s="5">
        <v>98.410004000000001</v>
      </c>
      <c r="E12" s="5">
        <v>98.650002000000001</v>
      </c>
      <c r="F12" s="5">
        <v>95.5</v>
      </c>
      <c r="G12" s="5">
        <v>96.660004000000001</v>
      </c>
      <c r="H12" s="1">
        <v>53087700</v>
      </c>
      <c r="I12">
        <v>94.148021999999997</v>
      </c>
      <c r="J12">
        <v>94.167197239999993</v>
      </c>
      <c r="K12">
        <v>102.9703331</v>
      </c>
      <c r="L12">
        <v>111.77346900000001</v>
      </c>
      <c r="M12" s="5">
        <f>Table1[[#This Row],[AAPL.Close]] -Table1[[#This Row],[AAPL.Open]]</f>
        <v>-1.75</v>
      </c>
      <c r="N12" s="4">
        <f>(Table1[[#This Row],[AAPL.Close]] - Table1[[#This Row],[AAPL.Open]]) /Table1[[#This Row],[AAPL.Open]]</f>
        <v>-1.7782744933126919E-2</v>
      </c>
      <c r="O12" s="4" t="str">
        <f>IF(Table1[[#This Row],[AAPL.Close]] &gt; Table1[[#This Row],[AAPL.Open]], "Up", "Down")</f>
        <v>Down</v>
      </c>
      <c r="P12" s="2" t="s">
        <v>11</v>
      </c>
    </row>
    <row r="13" spans="1:16" x14ac:dyDescent="0.35">
      <c r="A13" s="3">
        <v>42389</v>
      </c>
      <c r="B13" s="2" t="str">
        <f>TEXT(Table1[[#This Row],[Date]],"mmm")</f>
        <v>Jan</v>
      </c>
      <c r="C13" s="1">
        <f>YEAR(Table1[[#This Row],[Date]])</f>
        <v>2016</v>
      </c>
      <c r="D13" s="5">
        <v>95.099997999999999</v>
      </c>
      <c r="E13" s="5">
        <v>98.190002000000007</v>
      </c>
      <c r="F13" s="5">
        <v>93.419998000000007</v>
      </c>
      <c r="G13" s="5">
        <v>96.790001000000004</v>
      </c>
      <c r="H13" s="1">
        <v>72334400</v>
      </c>
      <c r="I13">
        <v>94.274641000000003</v>
      </c>
      <c r="J13">
        <v>93.354958760000002</v>
      </c>
      <c r="K13">
        <v>102.4209999</v>
      </c>
      <c r="L13">
        <v>111.487041</v>
      </c>
      <c r="M13" s="5">
        <f>Table1[[#This Row],[AAPL.Close]] -Table1[[#This Row],[AAPL.Open]]</f>
        <v>1.6900030000000044</v>
      </c>
      <c r="N13" s="4">
        <f>(Table1[[#This Row],[AAPL.Close]] - Table1[[#This Row],[AAPL.Open]]) /Table1[[#This Row],[AAPL.Open]]</f>
        <v>1.7770799532508975E-2</v>
      </c>
      <c r="O13" s="4" t="str">
        <f>IF(Table1[[#This Row],[AAPL.Close]] &gt; Table1[[#This Row],[AAPL.Open]], "Up", "Down")</f>
        <v>Up</v>
      </c>
      <c r="P13" s="2" t="s">
        <v>10</v>
      </c>
    </row>
    <row r="14" spans="1:16" x14ac:dyDescent="0.35">
      <c r="A14" s="3">
        <v>42390</v>
      </c>
      <c r="B14" s="2" t="str">
        <f>TEXT(Table1[[#This Row],[Date]],"mmm")</f>
        <v>Jan</v>
      </c>
      <c r="C14" s="1">
        <f>YEAR(Table1[[#This Row],[Date]])</f>
        <v>2016</v>
      </c>
      <c r="D14" s="5">
        <v>97.059997999999993</v>
      </c>
      <c r="E14" s="5">
        <v>97.879997000000003</v>
      </c>
      <c r="F14" s="5">
        <v>94.940002000000007</v>
      </c>
      <c r="G14" s="5">
        <v>96.300003000000004</v>
      </c>
      <c r="H14" s="1">
        <v>52161500</v>
      </c>
      <c r="I14">
        <v>93.797376999999997</v>
      </c>
      <c r="J14">
        <v>92.700191259999997</v>
      </c>
      <c r="K14">
        <v>101.9018332</v>
      </c>
      <c r="L14">
        <v>111.1034751</v>
      </c>
      <c r="M14" s="5">
        <f>Table1[[#This Row],[AAPL.Close]] -Table1[[#This Row],[AAPL.Open]]</f>
        <v>-0.75999499999998932</v>
      </c>
      <c r="N14" s="4">
        <f>(Table1[[#This Row],[AAPL.Close]] - Table1[[#This Row],[AAPL.Open]]) /Table1[[#This Row],[AAPL.Open]]</f>
        <v>-7.8301567655089926E-3</v>
      </c>
      <c r="O14" s="4" t="str">
        <f>IF(Table1[[#This Row],[AAPL.Close]] &gt; Table1[[#This Row],[AAPL.Open]], "Up", "Down")</f>
        <v>Down</v>
      </c>
      <c r="P14" s="2" t="s">
        <v>11</v>
      </c>
    </row>
    <row r="15" spans="1:16" x14ac:dyDescent="0.35">
      <c r="A15" s="3">
        <v>42391</v>
      </c>
      <c r="B15" s="2" t="str">
        <f>TEXT(Table1[[#This Row],[Date]],"mmm")</f>
        <v>Jan</v>
      </c>
      <c r="C15" s="1">
        <f>YEAR(Table1[[#This Row],[Date]])</f>
        <v>2016</v>
      </c>
      <c r="D15" s="5">
        <v>98.629997000000003</v>
      </c>
      <c r="E15" s="5">
        <v>101.459999</v>
      </c>
      <c r="F15" s="5">
        <v>98.370002999999997</v>
      </c>
      <c r="G15" s="5">
        <v>101.41999800000001</v>
      </c>
      <c r="H15" s="1">
        <v>65800500</v>
      </c>
      <c r="I15">
        <v>98.784315000000007</v>
      </c>
      <c r="J15">
        <v>92.667320029999999</v>
      </c>
      <c r="K15">
        <v>101.5659998</v>
      </c>
      <c r="L15">
        <v>110.4646796</v>
      </c>
      <c r="M15" s="5">
        <f>Table1[[#This Row],[AAPL.Close]] -Table1[[#This Row],[AAPL.Open]]</f>
        <v>2.7900010000000037</v>
      </c>
      <c r="N15" s="4">
        <f>(Table1[[#This Row],[AAPL.Close]] - Table1[[#This Row],[AAPL.Open]]) /Table1[[#This Row],[AAPL.Open]]</f>
        <v>2.8287550287566202E-2</v>
      </c>
      <c r="O15" s="4" t="str">
        <f>IF(Table1[[#This Row],[AAPL.Close]] &gt; Table1[[#This Row],[AAPL.Open]], "Up", "Down")</f>
        <v>Up</v>
      </c>
      <c r="P15" s="2" t="s">
        <v>10</v>
      </c>
    </row>
    <row r="16" spans="1:16" x14ac:dyDescent="0.35">
      <c r="A16" s="3">
        <v>42394</v>
      </c>
      <c r="B16" s="2" t="str">
        <f>TEXT(Table1[[#This Row],[Date]],"mmm")</f>
        <v>Jan</v>
      </c>
      <c r="C16" s="1">
        <f>YEAR(Table1[[#This Row],[Date]])</f>
        <v>2016</v>
      </c>
      <c r="D16" s="5">
        <v>101.519997</v>
      </c>
      <c r="E16" s="5">
        <v>101.529999</v>
      </c>
      <c r="F16" s="5">
        <v>99.209998999999996</v>
      </c>
      <c r="G16" s="5">
        <v>99.440002000000007</v>
      </c>
      <c r="H16" s="1">
        <v>51794500</v>
      </c>
      <c r="I16">
        <v>96.855774999999994</v>
      </c>
      <c r="J16">
        <v>92.784284260000007</v>
      </c>
      <c r="K16">
        <v>101.15799989999999</v>
      </c>
      <c r="L16">
        <v>109.5317155</v>
      </c>
      <c r="M16" s="5">
        <f>Table1[[#This Row],[AAPL.Close]] -Table1[[#This Row],[AAPL.Open]]</f>
        <v>-2.0799949999999967</v>
      </c>
      <c r="N16" s="4">
        <f>(Table1[[#This Row],[AAPL.Close]] - Table1[[#This Row],[AAPL.Open]]) /Table1[[#This Row],[AAPL.Open]]</f>
        <v>-2.0488525034136836E-2</v>
      </c>
      <c r="O16" s="4" t="str">
        <f>IF(Table1[[#This Row],[AAPL.Close]] &gt; Table1[[#This Row],[AAPL.Open]], "Up", "Down")</f>
        <v>Down</v>
      </c>
      <c r="P16" s="2" t="s">
        <v>11</v>
      </c>
    </row>
    <row r="17" spans="1:16" x14ac:dyDescent="0.35">
      <c r="A17" s="3">
        <v>42395</v>
      </c>
      <c r="B17" s="2" t="str">
        <f>TEXT(Table1[[#This Row],[Date]],"mmm")</f>
        <v>Jan</v>
      </c>
      <c r="C17" s="1">
        <f>YEAR(Table1[[#This Row],[Date]])</f>
        <v>2016</v>
      </c>
      <c r="D17" s="5">
        <v>99.93</v>
      </c>
      <c r="E17" s="5">
        <v>100.879997</v>
      </c>
      <c r="F17" s="5">
        <v>98.07</v>
      </c>
      <c r="G17" s="5">
        <v>99.989998</v>
      </c>
      <c r="H17" s="1">
        <v>75077000</v>
      </c>
      <c r="I17">
        <v>97.391476999999995</v>
      </c>
      <c r="J17">
        <v>93.007487499999996</v>
      </c>
      <c r="K17">
        <v>100.7239999</v>
      </c>
      <c r="L17">
        <v>108.44051229999999</v>
      </c>
      <c r="M17" s="5">
        <f>Table1[[#This Row],[AAPL.Close]] -Table1[[#This Row],[AAPL.Open]]</f>
        <v>5.9997999999993112E-2</v>
      </c>
      <c r="N17" s="4">
        <f>(Table1[[#This Row],[AAPL.Close]] - Table1[[#This Row],[AAPL.Open]]) /Table1[[#This Row],[AAPL.Open]]</f>
        <v>6.0040028019606834E-4</v>
      </c>
      <c r="O17" s="4" t="str">
        <f>IF(Table1[[#This Row],[AAPL.Close]] &gt; Table1[[#This Row],[AAPL.Open]], "Up", "Down")</f>
        <v>Up</v>
      </c>
      <c r="P17" s="2" t="s">
        <v>10</v>
      </c>
    </row>
    <row r="18" spans="1:16" x14ac:dyDescent="0.35">
      <c r="A18" s="3">
        <v>42396</v>
      </c>
      <c r="B18" s="2" t="str">
        <f>TEXT(Table1[[#This Row],[Date]],"mmm")</f>
        <v>Jan</v>
      </c>
      <c r="C18" s="1">
        <f>YEAR(Table1[[#This Row],[Date]])</f>
        <v>2016</v>
      </c>
      <c r="D18" s="5">
        <v>96.040001000000004</v>
      </c>
      <c r="E18" s="5">
        <v>96.629997000000003</v>
      </c>
      <c r="F18" s="5">
        <v>93.339995999999999</v>
      </c>
      <c r="G18" s="5">
        <v>93.419998000000007</v>
      </c>
      <c r="H18" s="1">
        <v>133369700</v>
      </c>
      <c r="I18">
        <v>90.992217999999994</v>
      </c>
      <c r="J18">
        <v>92.472292629999998</v>
      </c>
      <c r="K18">
        <v>100.102333</v>
      </c>
      <c r="L18">
        <v>107.7323734</v>
      </c>
      <c r="M18" s="5">
        <f>Table1[[#This Row],[AAPL.Close]] -Table1[[#This Row],[AAPL.Open]]</f>
        <v>-2.620002999999997</v>
      </c>
      <c r="N18" s="4">
        <f>(Table1[[#This Row],[AAPL.Close]] - Table1[[#This Row],[AAPL.Open]]) /Table1[[#This Row],[AAPL.Open]]</f>
        <v>-2.728033082798486E-2</v>
      </c>
      <c r="O18" s="4" t="str">
        <f>IF(Table1[[#This Row],[AAPL.Close]] &gt; Table1[[#This Row],[AAPL.Open]], "Up", "Down")</f>
        <v>Down</v>
      </c>
      <c r="P18" s="2" t="s">
        <v>11</v>
      </c>
    </row>
    <row r="19" spans="1:16" x14ac:dyDescent="0.35">
      <c r="A19" s="3">
        <v>42397</v>
      </c>
      <c r="B19" s="2" t="str">
        <f>TEXT(Table1[[#This Row],[Date]],"mmm")</f>
        <v>Jan</v>
      </c>
      <c r="C19" s="1">
        <f>YEAR(Table1[[#This Row],[Date]])</f>
        <v>2016</v>
      </c>
      <c r="D19" s="5">
        <v>93.790001000000004</v>
      </c>
      <c r="E19" s="5">
        <v>94.519997000000004</v>
      </c>
      <c r="F19" s="5">
        <v>92.389999000000003</v>
      </c>
      <c r="G19" s="5">
        <v>94.089995999999999</v>
      </c>
      <c r="H19" s="1">
        <v>55678800</v>
      </c>
      <c r="I19">
        <v>91.644803999999993</v>
      </c>
      <c r="J19">
        <v>92.243598070000004</v>
      </c>
      <c r="K19">
        <v>99.368499580000005</v>
      </c>
      <c r="L19">
        <v>106.4934011</v>
      </c>
      <c r="M19" s="5">
        <f>Table1[[#This Row],[AAPL.Close]] -Table1[[#This Row],[AAPL.Open]]</f>
        <v>0.29999499999999557</v>
      </c>
      <c r="N19" s="4">
        <f>(Table1[[#This Row],[AAPL.Close]] - Table1[[#This Row],[AAPL.Open]]) /Table1[[#This Row],[AAPL.Open]]</f>
        <v>3.1985819042692574E-3</v>
      </c>
      <c r="O19" s="4" t="str">
        <f>IF(Table1[[#This Row],[AAPL.Close]] &gt; Table1[[#This Row],[AAPL.Open]], "Up", "Down")</f>
        <v>Up</v>
      </c>
      <c r="P19" s="2" t="s">
        <v>10</v>
      </c>
    </row>
    <row r="20" spans="1:16" x14ac:dyDescent="0.35">
      <c r="A20" s="3">
        <v>42398</v>
      </c>
      <c r="B20" s="2" t="str">
        <f>TEXT(Table1[[#This Row],[Date]],"mmm")</f>
        <v>Jan</v>
      </c>
      <c r="C20" s="1">
        <f>YEAR(Table1[[#This Row],[Date]])</f>
        <v>2016</v>
      </c>
      <c r="D20" s="5">
        <v>94.790001000000004</v>
      </c>
      <c r="E20" s="5">
        <v>97.339995999999999</v>
      </c>
      <c r="F20" s="5">
        <v>94.349997999999999</v>
      </c>
      <c r="G20" s="5">
        <v>97.339995999999999</v>
      </c>
      <c r="H20" s="1">
        <v>64416500</v>
      </c>
      <c r="I20">
        <v>94.810344000000001</v>
      </c>
      <c r="J20">
        <v>92.691369420000001</v>
      </c>
      <c r="K20">
        <v>98.798999469999998</v>
      </c>
      <c r="L20">
        <v>104.90662949999999</v>
      </c>
      <c r="M20" s="5">
        <f>Table1[[#This Row],[AAPL.Close]] -Table1[[#This Row],[AAPL.Open]]</f>
        <v>2.5499949999999956</v>
      </c>
      <c r="N20" s="4">
        <f>(Table1[[#This Row],[AAPL.Close]] - Table1[[#This Row],[AAPL.Open]]) /Table1[[#This Row],[AAPL.Open]]</f>
        <v>2.6901518863788127E-2</v>
      </c>
      <c r="O20" s="4" t="str">
        <f>IF(Table1[[#This Row],[AAPL.Close]] &gt; Table1[[#This Row],[AAPL.Open]], "Up", "Down")</f>
        <v>Up</v>
      </c>
      <c r="P20" s="2" t="s">
        <v>10</v>
      </c>
    </row>
    <row r="21" spans="1:16" x14ac:dyDescent="0.35">
      <c r="A21" s="3">
        <v>42738</v>
      </c>
      <c r="B21" s="2" t="str">
        <f>TEXT(Table1[[#This Row],[Date]],"mmm")</f>
        <v>Jan</v>
      </c>
      <c r="C21" s="1">
        <f>YEAR(Table1[[#This Row],[Date]])</f>
        <v>2017</v>
      </c>
      <c r="D21" s="5">
        <v>115.800003</v>
      </c>
      <c r="E21" s="5">
        <v>116.33000199999999</v>
      </c>
      <c r="F21" s="5">
        <v>114.760002</v>
      </c>
      <c r="G21" s="5">
        <v>116.150002</v>
      </c>
      <c r="H21" s="1">
        <v>28781900</v>
      </c>
      <c r="I21">
        <v>115.648597</v>
      </c>
      <c r="J21">
        <v>109.824879</v>
      </c>
      <c r="K21">
        <v>114.8328334</v>
      </c>
      <c r="L21">
        <v>119.8407878</v>
      </c>
      <c r="M21" s="5">
        <f>Table1[[#This Row],[AAPL.Close]] -Table1[[#This Row],[AAPL.Open]]</f>
        <v>0.34999899999999684</v>
      </c>
      <c r="N21" s="4">
        <f>(Table1[[#This Row],[AAPL.Close]] - Table1[[#This Row],[AAPL.Open]]) /Table1[[#This Row],[AAPL.Open]]</f>
        <v>3.0224437904375254E-3</v>
      </c>
      <c r="O21" s="4" t="str">
        <f>IF(Table1[[#This Row],[AAPL.Close]] &gt; Table1[[#This Row],[AAPL.Open]], "Up", "Down")</f>
        <v>Up</v>
      </c>
      <c r="P21" s="2" t="s">
        <v>10</v>
      </c>
    </row>
    <row r="22" spans="1:16" x14ac:dyDescent="0.35">
      <c r="A22" s="3">
        <v>42739</v>
      </c>
      <c r="B22" s="2" t="str">
        <f>TEXT(Table1[[#This Row],[Date]],"mmm")</f>
        <v>Jan</v>
      </c>
      <c r="C22" s="1">
        <f>YEAR(Table1[[#This Row],[Date]])</f>
        <v>2017</v>
      </c>
      <c r="D22" s="5">
        <v>115.849998</v>
      </c>
      <c r="E22" s="5">
        <v>116.510002</v>
      </c>
      <c r="F22" s="5">
        <v>115.75</v>
      </c>
      <c r="G22" s="5">
        <v>116.019997</v>
      </c>
      <c r="H22" s="1">
        <v>21118100</v>
      </c>
      <c r="I22">
        <v>115.519154</v>
      </c>
      <c r="J22">
        <v>110.89054109999999</v>
      </c>
      <c r="K22">
        <v>115.181</v>
      </c>
      <c r="L22">
        <v>119.4714589</v>
      </c>
      <c r="M22" s="5">
        <f>Table1[[#This Row],[AAPL.Close]] -Table1[[#This Row],[AAPL.Open]]</f>
        <v>0.16999900000000423</v>
      </c>
      <c r="N22" s="4">
        <f>(Table1[[#This Row],[AAPL.Close]] - Table1[[#This Row],[AAPL.Open]]) /Table1[[#This Row],[AAPL.Open]]</f>
        <v>1.4674061539474885E-3</v>
      </c>
      <c r="O22" s="4" t="str">
        <f>IF(Table1[[#This Row],[AAPL.Close]] &gt; Table1[[#This Row],[AAPL.Open]], "Up", "Down")</f>
        <v>Up</v>
      </c>
      <c r="P22" s="2" t="s">
        <v>10</v>
      </c>
    </row>
    <row r="23" spans="1:16" x14ac:dyDescent="0.35">
      <c r="A23" s="3">
        <v>42740</v>
      </c>
      <c r="B23" s="2" t="str">
        <f>TEXT(Table1[[#This Row],[Date]],"mmm")</f>
        <v>Jan</v>
      </c>
      <c r="C23" s="1">
        <f>YEAR(Table1[[#This Row],[Date]])</f>
        <v>2017</v>
      </c>
      <c r="D23" s="5">
        <v>115.91999800000001</v>
      </c>
      <c r="E23" s="5">
        <v>116.860001</v>
      </c>
      <c r="F23" s="5">
        <v>115.80999799999999</v>
      </c>
      <c r="G23" s="5">
        <v>116.610001</v>
      </c>
      <c r="H23" s="1">
        <v>22193600</v>
      </c>
      <c r="I23">
        <v>116.106611</v>
      </c>
      <c r="J23">
        <v>111.9660727</v>
      </c>
      <c r="K23">
        <v>115.5106667</v>
      </c>
      <c r="L23">
        <v>119.0552606</v>
      </c>
      <c r="M23" s="5">
        <f>Table1[[#This Row],[AAPL.Close]] -Table1[[#This Row],[AAPL.Open]]</f>
        <v>0.69000299999999015</v>
      </c>
      <c r="N23" s="4">
        <f>(Table1[[#This Row],[AAPL.Close]] - Table1[[#This Row],[AAPL.Open]]) /Table1[[#This Row],[AAPL.Open]]</f>
        <v>5.952406934996584E-3</v>
      </c>
      <c r="O23" s="4" t="str">
        <f>IF(Table1[[#This Row],[AAPL.Close]] &gt; Table1[[#This Row],[AAPL.Open]], "Up", "Down")</f>
        <v>Up</v>
      </c>
      <c r="P23" s="2" t="s">
        <v>10</v>
      </c>
    </row>
    <row r="24" spans="1:16" x14ac:dyDescent="0.35">
      <c r="A24" s="3">
        <v>42741</v>
      </c>
      <c r="B24" s="2" t="str">
        <f>TEXT(Table1[[#This Row],[Date]],"mmm")</f>
        <v>Jan</v>
      </c>
      <c r="C24" s="1">
        <f>YEAR(Table1[[#This Row],[Date]])</f>
        <v>2017</v>
      </c>
      <c r="D24" s="5">
        <v>116.779999</v>
      </c>
      <c r="E24" s="5">
        <v>118.160004</v>
      </c>
      <c r="F24" s="5">
        <v>116.470001</v>
      </c>
      <c r="G24" s="5">
        <v>117.910004</v>
      </c>
      <c r="H24" s="1">
        <v>31751900</v>
      </c>
      <c r="I24">
        <v>117.40100200000001</v>
      </c>
      <c r="J24">
        <v>113.0764095</v>
      </c>
      <c r="K24">
        <v>115.8633334</v>
      </c>
      <c r="L24">
        <v>118.65025730000001</v>
      </c>
      <c r="M24" s="5">
        <f>Table1[[#This Row],[AAPL.Close]] -Table1[[#This Row],[AAPL.Open]]</f>
        <v>1.130004999999997</v>
      </c>
      <c r="N24" s="4">
        <f>(Table1[[#This Row],[AAPL.Close]] - Table1[[#This Row],[AAPL.Open]]) /Table1[[#This Row],[AAPL.Open]]</f>
        <v>9.67635733581396E-3</v>
      </c>
      <c r="O24" s="4" t="str">
        <f>IF(Table1[[#This Row],[AAPL.Close]] &gt; Table1[[#This Row],[AAPL.Open]], "Up", "Down")</f>
        <v>Up</v>
      </c>
      <c r="P24" s="2" t="s">
        <v>10</v>
      </c>
    </row>
    <row r="25" spans="1:16" x14ac:dyDescent="0.35">
      <c r="A25" s="3">
        <v>42744</v>
      </c>
      <c r="B25" s="2" t="str">
        <f>TEXT(Table1[[#This Row],[Date]],"mmm")</f>
        <v>Jan</v>
      </c>
      <c r="C25" s="1">
        <f>YEAR(Table1[[#This Row],[Date]])</f>
        <v>2017</v>
      </c>
      <c r="D25" s="5">
        <v>117.949997</v>
      </c>
      <c r="E25" s="5">
        <v>119.43</v>
      </c>
      <c r="F25" s="5">
        <v>117.94000200000001</v>
      </c>
      <c r="G25" s="5">
        <v>118.989998</v>
      </c>
      <c r="H25" s="1">
        <v>33387600</v>
      </c>
      <c r="I25">
        <v>118.47633399999999</v>
      </c>
      <c r="J25">
        <v>113.863686</v>
      </c>
      <c r="K25">
        <v>116.2168334</v>
      </c>
      <c r="L25">
        <v>118.5699808</v>
      </c>
      <c r="M25" s="5">
        <f>Table1[[#This Row],[AAPL.Close]] -Table1[[#This Row],[AAPL.Open]]</f>
        <v>1.0400010000000037</v>
      </c>
      <c r="N25" s="4">
        <f>(Table1[[#This Row],[AAPL.Close]] - Table1[[#This Row],[AAPL.Open]]) /Table1[[#This Row],[AAPL.Open]]</f>
        <v>8.8173041666122619E-3</v>
      </c>
      <c r="O25" s="4" t="str">
        <f>IF(Table1[[#This Row],[AAPL.Close]] &gt; Table1[[#This Row],[AAPL.Open]], "Up", "Down")</f>
        <v>Up</v>
      </c>
      <c r="P25" s="2" t="s">
        <v>10</v>
      </c>
    </row>
    <row r="26" spans="1:16" x14ac:dyDescent="0.35">
      <c r="A26" s="3">
        <v>42745</v>
      </c>
      <c r="B26" s="2" t="str">
        <f>TEXT(Table1[[#This Row],[Date]],"mmm")</f>
        <v>Jan</v>
      </c>
      <c r="C26" s="1">
        <f>YEAR(Table1[[#This Row],[Date]])</f>
        <v>2017</v>
      </c>
      <c r="D26" s="5">
        <v>118.769997</v>
      </c>
      <c r="E26" s="5">
        <v>119.379997</v>
      </c>
      <c r="F26" s="5">
        <v>118.300003</v>
      </c>
      <c r="G26" s="5">
        <v>119.110001</v>
      </c>
      <c r="H26" s="1">
        <v>24462100</v>
      </c>
      <c r="I26">
        <v>118.59581900000001</v>
      </c>
      <c r="J26">
        <v>114.1532615</v>
      </c>
      <c r="K26">
        <v>116.4806669</v>
      </c>
      <c r="L26">
        <v>118.80807230000001</v>
      </c>
      <c r="M26" s="5">
        <f>Table1[[#This Row],[AAPL.Close]] -Table1[[#This Row],[AAPL.Open]]</f>
        <v>0.34000399999999331</v>
      </c>
      <c r="N26" s="4">
        <f>(Table1[[#This Row],[AAPL.Close]] - Table1[[#This Row],[AAPL.Open]]) /Table1[[#This Row],[AAPL.Open]]</f>
        <v>2.8627095107192206E-3</v>
      </c>
      <c r="O26" s="4" t="str">
        <f>IF(Table1[[#This Row],[AAPL.Close]] &gt; Table1[[#This Row],[AAPL.Open]], "Up", "Down")</f>
        <v>Up</v>
      </c>
      <c r="P26" s="2" t="s">
        <v>10</v>
      </c>
    </row>
    <row r="27" spans="1:16" x14ac:dyDescent="0.35">
      <c r="A27" s="3">
        <v>42746</v>
      </c>
      <c r="B27" s="2" t="str">
        <f>TEXT(Table1[[#This Row],[Date]],"mmm")</f>
        <v>Jan</v>
      </c>
      <c r="C27" s="1">
        <f>YEAR(Table1[[#This Row],[Date]])</f>
        <v>2017</v>
      </c>
      <c r="D27" s="5">
        <v>118.739998</v>
      </c>
      <c r="E27" s="5">
        <v>119.93</v>
      </c>
      <c r="F27" s="5">
        <v>118.599998</v>
      </c>
      <c r="G27" s="5">
        <v>119.75</v>
      </c>
      <c r="H27" s="1">
        <v>27588600</v>
      </c>
      <c r="I27">
        <v>119.23305499999999</v>
      </c>
      <c r="J27">
        <v>114.5029779</v>
      </c>
      <c r="K27">
        <v>116.77216679999999</v>
      </c>
      <c r="L27">
        <v>119.0413557</v>
      </c>
      <c r="M27" s="5">
        <f>Table1[[#This Row],[AAPL.Close]] -Table1[[#This Row],[AAPL.Open]]</f>
        <v>1.0100020000000001</v>
      </c>
      <c r="N27" s="4">
        <f>(Table1[[#This Row],[AAPL.Close]] - Table1[[#This Row],[AAPL.Open]]) /Table1[[#This Row],[AAPL.Open]]</f>
        <v>8.505996437695746E-3</v>
      </c>
      <c r="O27" s="4" t="str">
        <f>IF(Table1[[#This Row],[AAPL.Close]] &gt; Table1[[#This Row],[AAPL.Open]], "Up", "Down")</f>
        <v>Up</v>
      </c>
      <c r="P27" s="2" t="s">
        <v>10</v>
      </c>
    </row>
    <row r="28" spans="1:16" x14ac:dyDescent="0.35">
      <c r="A28" s="3">
        <v>42747</v>
      </c>
      <c r="B28" s="2" t="str">
        <f>TEXT(Table1[[#This Row],[Date]],"mmm")</f>
        <v>Jan</v>
      </c>
      <c r="C28" s="1">
        <f>YEAR(Table1[[#This Row],[Date]])</f>
        <v>2017</v>
      </c>
      <c r="D28" s="5">
        <v>118.900002</v>
      </c>
      <c r="E28" s="5">
        <v>119.300003</v>
      </c>
      <c r="F28" s="5">
        <v>118.209999</v>
      </c>
      <c r="G28" s="5">
        <v>119.25</v>
      </c>
      <c r="H28" s="1">
        <v>27086200</v>
      </c>
      <c r="I28">
        <v>118.735214</v>
      </c>
      <c r="J28">
        <v>114.6785838</v>
      </c>
      <c r="K28">
        <v>116.9705002</v>
      </c>
      <c r="L28">
        <v>119.26241659999999</v>
      </c>
      <c r="M28" s="5">
        <f>Table1[[#This Row],[AAPL.Close]] -Table1[[#This Row],[AAPL.Open]]</f>
        <v>0.34999799999999937</v>
      </c>
      <c r="N28" s="4">
        <f>(Table1[[#This Row],[AAPL.Close]] - Table1[[#This Row],[AAPL.Open]]) /Table1[[#This Row],[AAPL.Open]]</f>
        <v>2.9436332557841284E-3</v>
      </c>
      <c r="O28" s="4" t="str">
        <f>IF(Table1[[#This Row],[AAPL.Close]] &gt; Table1[[#This Row],[AAPL.Open]], "Up", "Down")</f>
        <v>Up</v>
      </c>
      <c r="P28" s="2" t="s">
        <v>10</v>
      </c>
    </row>
    <row r="29" spans="1:16" x14ac:dyDescent="0.35">
      <c r="A29" s="3">
        <v>42748</v>
      </c>
      <c r="B29" s="2" t="str">
        <f>TEXT(Table1[[#This Row],[Date]],"mmm")</f>
        <v>Jan</v>
      </c>
      <c r="C29" s="1">
        <f>YEAR(Table1[[#This Row],[Date]])</f>
        <v>2017</v>
      </c>
      <c r="D29" s="5">
        <v>119.110001</v>
      </c>
      <c r="E29" s="5">
        <v>119.620003</v>
      </c>
      <c r="F29" s="5">
        <v>118.80999799999999</v>
      </c>
      <c r="G29" s="5">
        <v>119.040001</v>
      </c>
      <c r="H29" s="1">
        <v>26111900</v>
      </c>
      <c r="I29">
        <v>118.526121</v>
      </c>
      <c r="J29">
        <v>114.7862159</v>
      </c>
      <c r="K29">
        <v>117.15550020000001</v>
      </c>
      <c r="L29">
        <v>119.5247845</v>
      </c>
      <c r="M29" s="5">
        <f>Table1[[#This Row],[AAPL.Close]] -Table1[[#This Row],[AAPL.Open]]</f>
        <v>-6.9999999999993179E-2</v>
      </c>
      <c r="N29" s="4">
        <f>(Table1[[#This Row],[AAPL.Close]] - Table1[[#This Row],[AAPL.Open]]) /Table1[[#This Row],[AAPL.Open]]</f>
        <v>-5.8769204443204714E-4</v>
      </c>
      <c r="O29" s="4" t="str">
        <f>IF(Table1[[#This Row],[AAPL.Close]] &gt; Table1[[#This Row],[AAPL.Open]], "Up", "Down")</f>
        <v>Down</v>
      </c>
      <c r="P29" s="2" t="s">
        <v>11</v>
      </c>
    </row>
    <row r="30" spans="1:16" x14ac:dyDescent="0.35">
      <c r="A30" s="3">
        <v>42752</v>
      </c>
      <c r="B30" s="2" t="str">
        <f>TEXT(Table1[[#This Row],[Date]],"mmm")</f>
        <v>Jan</v>
      </c>
      <c r="C30" s="1">
        <f>YEAR(Table1[[#This Row],[Date]])</f>
        <v>2017</v>
      </c>
      <c r="D30" s="5">
        <v>118.339996</v>
      </c>
      <c r="E30" s="5">
        <v>120.239998</v>
      </c>
      <c r="F30" s="5">
        <v>118.220001</v>
      </c>
      <c r="G30" s="5">
        <v>120</v>
      </c>
      <c r="H30" s="1">
        <v>34439800</v>
      </c>
      <c r="I30">
        <v>119.481976</v>
      </c>
      <c r="J30">
        <v>114.829177</v>
      </c>
      <c r="K30">
        <v>117.33350009999999</v>
      </c>
      <c r="L30">
        <v>119.83782309999999</v>
      </c>
      <c r="M30" s="5">
        <f>Table1[[#This Row],[AAPL.Close]] -Table1[[#This Row],[AAPL.Open]]</f>
        <v>1.6600040000000007</v>
      </c>
      <c r="N30" s="4">
        <f>(Table1[[#This Row],[AAPL.Close]] - Table1[[#This Row],[AAPL.Open]]) /Table1[[#This Row],[AAPL.Open]]</f>
        <v>1.4027413014277951E-2</v>
      </c>
      <c r="O30" s="4" t="str">
        <f>IF(Table1[[#This Row],[AAPL.Close]] &gt; Table1[[#This Row],[AAPL.Open]], "Up", "Down")</f>
        <v>Up</v>
      </c>
      <c r="P30" s="2" t="s">
        <v>10</v>
      </c>
    </row>
    <row r="31" spans="1:16" x14ac:dyDescent="0.35">
      <c r="A31" s="3">
        <v>42753</v>
      </c>
      <c r="B31" s="2" t="str">
        <f>TEXT(Table1[[#This Row],[Date]],"mmm")</f>
        <v>Jan</v>
      </c>
      <c r="C31" s="1">
        <f>YEAR(Table1[[#This Row],[Date]])</f>
        <v>2017</v>
      </c>
      <c r="D31" s="5">
        <v>120</v>
      </c>
      <c r="E31" s="5">
        <v>120.5</v>
      </c>
      <c r="F31" s="5">
        <v>119.709999</v>
      </c>
      <c r="G31" s="5">
        <v>119.989998</v>
      </c>
      <c r="H31" s="1">
        <v>23713000</v>
      </c>
      <c r="I31">
        <v>119.47201699999999</v>
      </c>
      <c r="J31">
        <v>114.8387427</v>
      </c>
      <c r="K31">
        <v>117.5348333</v>
      </c>
      <c r="L31">
        <v>120.23092389999999</v>
      </c>
      <c r="M31" s="5">
        <f>Table1[[#This Row],[AAPL.Close]] -Table1[[#This Row],[AAPL.Open]]</f>
        <v>-1.0002000000000066E-2</v>
      </c>
      <c r="N31" s="4">
        <f>(Table1[[#This Row],[AAPL.Close]] - Table1[[#This Row],[AAPL.Open]]) /Table1[[#This Row],[AAPL.Open]]</f>
        <v>-8.3350000000000549E-5</v>
      </c>
      <c r="O31" s="4" t="str">
        <f>IF(Table1[[#This Row],[AAPL.Close]] &gt; Table1[[#This Row],[AAPL.Open]], "Up", "Down")</f>
        <v>Down</v>
      </c>
      <c r="P31" s="2" t="s">
        <v>11</v>
      </c>
    </row>
    <row r="32" spans="1:16" x14ac:dyDescent="0.35">
      <c r="A32" s="3">
        <v>42754</v>
      </c>
      <c r="B32" s="2" t="str">
        <f>TEXT(Table1[[#This Row],[Date]],"mmm")</f>
        <v>Jan</v>
      </c>
      <c r="C32" s="1">
        <f>YEAR(Table1[[#This Row],[Date]])</f>
        <v>2017</v>
      </c>
      <c r="D32" s="5">
        <v>119.400002</v>
      </c>
      <c r="E32" s="5">
        <v>120.089996</v>
      </c>
      <c r="F32" s="5">
        <v>119.370003</v>
      </c>
      <c r="G32" s="5">
        <v>119.779999</v>
      </c>
      <c r="H32" s="1">
        <v>25597300</v>
      </c>
      <c r="I32">
        <v>119.262925</v>
      </c>
      <c r="J32">
        <v>114.8696971</v>
      </c>
      <c r="K32">
        <v>117.6926667</v>
      </c>
      <c r="L32">
        <v>120.5156363</v>
      </c>
      <c r="M32" s="5">
        <f>Table1[[#This Row],[AAPL.Close]] -Table1[[#This Row],[AAPL.Open]]</f>
        <v>0.37999700000000303</v>
      </c>
      <c r="N32" s="4">
        <f>(Table1[[#This Row],[AAPL.Close]] - Table1[[#This Row],[AAPL.Open]]) /Table1[[#This Row],[AAPL.Open]]</f>
        <v>3.1825543855518784E-3</v>
      </c>
      <c r="O32" s="4" t="str">
        <f>IF(Table1[[#This Row],[AAPL.Close]] &gt; Table1[[#This Row],[AAPL.Open]], "Up", "Down")</f>
        <v>Up</v>
      </c>
      <c r="P32" s="2" t="s">
        <v>10</v>
      </c>
    </row>
    <row r="33" spans="1:16" x14ac:dyDescent="0.35">
      <c r="A33" s="3">
        <v>42755</v>
      </c>
      <c r="B33" s="2" t="str">
        <f>TEXT(Table1[[#This Row],[Date]],"mmm")</f>
        <v>Jan</v>
      </c>
      <c r="C33" s="1">
        <f>YEAR(Table1[[#This Row],[Date]])</f>
        <v>2017</v>
      </c>
      <c r="D33" s="5">
        <v>120.449997</v>
      </c>
      <c r="E33" s="5">
        <v>120.449997</v>
      </c>
      <c r="F33" s="5">
        <v>119.730003</v>
      </c>
      <c r="G33" s="5">
        <v>120</v>
      </c>
      <c r="H33" s="1">
        <v>32597900</v>
      </c>
      <c r="I33">
        <v>119.481976</v>
      </c>
      <c r="J33">
        <v>114.8577538</v>
      </c>
      <c r="K33">
        <v>117.8435001</v>
      </c>
      <c r="L33">
        <v>120.82924629999999</v>
      </c>
      <c r="M33" s="5">
        <f>Table1[[#This Row],[AAPL.Close]] -Table1[[#This Row],[AAPL.Open]]</f>
        <v>-0.44999699999999621</v>
      </c>
      <c r="N33" s="4">
        <f>(Table1[[#This Row],[AAPL.Close]] - Table1[[#This Row],[AAPL.Open]]) /Table1[[#This Row],[AAPL.Open]]</f>
        <v>-3.7359652238098122E-3</v>
      </c>
      <c r="O33" s="4" t="str">
        <f>IF(Table1[[#This Row],[AAPL.Close]] &gt; Table1[[#This Row],[AAPL.Open]], "Up", "Down")</f>
        <v>Down</v>
      </c>
      <c r="P33" s="2" t="s">
        <v>11</v>
      </c>
    </row>
    <row r="34" spans="1:16" x14ac:dyDescent="0.35">
      <c r="A34" s="3">
        <v>42758</v>
      </c>
      <c r="B34" s="2" t="str">
        <f>TEXT(Table1[[#This Row],[Date]],"mmm")</f>
        <v>Jan</v>
      </c>
      <c r="C34" s="1">
        <f>YEAR(Table1[[#This Row],[Date]])</f>
        <v>2017</v>
      </c>
      <c r="D34" s="5">
        <v>120</v>
      </c>
      <c r="E34" s="5">
        <v>120.80999799999999</v>
      </c>
      <c r="F34" s="5">
        <v>119.769997</v>
      </c>
      <c r="G34" s="5">
        <v>120.08000199999999</v>
      </c>
      <c r="H34" s="1">
        <v>22050200</v>
      </c>
      <c r="I34">
        <v>119.561633</v>
      </c>
      <c r="J34">
        <v>114.8653688</v>
      </c>
      <c r="K34">
        <v>118.0005</v>
      </c>
      <c r="L34">
        <v>121.13563120000001</v>
      </c>
      <c r="M34" s="5">
        <f>Table1[[#This Row],[AAPL.Close]] -Table1[[#This Row],[AAPL.Open]]</f>
        <v>8.0001999999993245E-2</v>
      </c>
      <c r="N34" s="4">
        <f>(Table1[[#This Row],[AAPL.Close]] - Table1[[#This Row],[AAPL.Open]]) /Table1[[#This Row],[AAPL.Open]]</f>
        <v>6.6668333333327705E-4</v>
      </c>
      <c r="O34" s="4" t="str">
        <f>IF(Table1[[#This Row],[AAPL.Close]] &gt; Table1[[#This Row],[AAPL.Open]], "Up", "Down")</f>
        <v>Up</v>
      </c>
      <c r="P34" s="2" t="s">
        <v>10</v>
      </c>
    </row>
    <row r="35" spans="1:16" x14ac:dyDescent="0.35">
      <c r="A35" s="3">
        <v>42759</v>
      </c>
      <c r="B35" s="2" t="str">
        <f>TEXT(Table1[[#This Row],[Date]],"mmm")</f>
        <v>Jan</v>
      </c>
      <c r="C35" s="1">
        <f>YEAR(Table1[[#This Row],[Date]])</f>
        <v>2017</v>
      </c>
      <c r="D35" s="5">
        <v>119.550003</v>
      </c>
      <c r="E35" s="5">
        <v>120.099998</v>
      </c>
      <c r="F35" s="5">
        <v>119.5</v>
      </c>
      <c r="G35" s="5">
        <v>119.970001</v>
      </c>
      <c r="H35" s="1">
        <v>23211000</v>
      </c>
      <c r="I35">
        <v>119.452107</v>
      </c>
      <c r="J35">
        <v>115.0726195</v>
      </c>
      <c r="K35">
        <v>118.18600000000001</v>
      </c>
      <c r="L35">
        <v>121.2993805</v>
      </c>
      <c r="M35" s="5">
        <f>Table1[[#This Row],[AAPL.Close]] -Table1[[#This Row],[AAPL.Open]]</f>
        <v>0.41999799999999254</v>
      </c>
      <c r="N35" s="4">
        <f>(Table1[[#This Row],[AAPL.Close]] - Table1[[#This Row],[AAPL.Open]]) /Table1[[#This Row],[AAPL.Open]]</f>
        <v>3.5131575864535323E-3</v>
      </c>
      <c r="O35" s="4" t="str">
        <f>IF(Table1[[#This Row],[AAPL.Close]] &gt; Table1[[#This Row],[AAPL.Open]], "Up", "Down")</f>
        <v>Up</v>
      </c>
      <c r="P35" s="2" t="s">
        <v>10</v>
      </c>
    </row>
    <row r="36" spans="1:16" x14ac:dyDescent="0.35">
      <c r="A36" s="3">
        <v>42760</v>
      </c>
      <c r="B36" s="2" t="str">
        <f>TEXT(Table1[[#This Row],[Date]],"mmm")</f>
        <v>Jan</v>
      </c>
      <c r="C36" s="1">
        <f>YEAR(Table1[[#This Row],[Date]])</f>
        <v>2017</v>
      </c>
      <c r="D36" s="5">
        <v>120.41999800000001</v>
      </c>
      <c r="E36" s="5">
        <v>122.099998</v>
      </c>
      <c r="F36" s="5">
        <v>120.279999</v>
      </c>
      <c r="G36" s="5">
        <v>121.879997</v>
      </c>
      <c r="H36" s="1">
        <v>32377600</v>
      </c>
      <c r="I36">
        <v>121.353858</v>
      </c>
      <c r="J36">
        <v>115.17044629999999</v>
      </c>
      <c r="K36">
        <v>118.44650009999999</v>
      </c>
      <c r="L36">
        <v>121.7225538</v>
      </c>
      <c r="M36" s="5">
        <f>Table1[[#This Row],[AAPL.Close]] -Table1[[#This Row],[AAPL.Open]]</f>
        <v>1.4599989999999963</v>
      </c>
      <c r="N36" s="4">
        <f>(Table1[[#This Row],[AAPL.Close]] - Table1[[#This Row],[AAPL.Open]]) /Table1[[#This Row],[AAPL.Open]]</f>
        <v>1.2124223752270749E-2</v>
      </c>
      <c r="O36" s="4" t="str">
        <f>IF(Table1[[#This Row],[AAPL.Close]] &gt; Table1[[#This Row],[AAPL.Open]], "Up", "Down")</f>
        <v>Up</v>
      </c>
      <c r="P36" s="2" t="s">
        <v>10</v>
      </c>
    </row>
    <row r="37" spans="1:16" x14ac:dyDescent="0.35">
      <c r="A37" s="3">
        <v>42761</v>
      </c>
      <c r="B37" s="2" t="str">
        <f>TEXT(Table1[[#This Row],[Date]],"mmm")</f>
        <v>Jan</v>
      </c>
      <c r="C37" s="1">
        <f>YEAR(Table1[[#This Row],[Date]])</f>
        <v>2017</v>
      </c>
      <c r="D37" s="5">
        <v>121.66999800000001</v>
      </c>
      <c r="E37" s="5">
        <v>122.44000200000001</v>
      </c>
      <c r="F37" s="5">
        <v>121.599998</v>
      </c>
      <c r="G37" s="5">
        <v>121.94000200000001</v>
      </c>
      <c r="H37" s="1">
        <v>26337600</v>
      </c>
      <c r="I37">
        <v>121.41360400000001</v>
      </c>
      <c r="J37">
        <v>115.1235669</v>
      </c>
      <c r="K37">
        <v>118.687</v>
      </c>
      <c r="L37">
        <v>122.2504332</v>
      </c>
      <c r="M37" s="5">
        <f>Table1[[#This Row],[AAPL.Close]] -Table1[[#This Row],[AAPL.Open]]</f>
        <v>0.27000400000000013</v>
      </c>
      <c r="N37" s="4">
        <f>(Table1[[#This Row],[AAPL.Close]] - Table1[[#This Row],[AAPL.Open]]) /Table1[[#This Row],[AAPL.Open]]</f>
        <v>2.2191501967477644E-3</v>
      </c>
      <c r="O37" s="4" t="str">
        <f>IF(Table1[[#This Row],[AAPL.Close]] &gt; Table1[[#This Row],[AAPL.Open]], "Up", "Down")</f>
        <v>Up</v>
      </c>
      <c r="P37" s="2" t="s">
        <v>10</v>
      </c>
    </row>
    <row r="38" spans="1:16" x14ac:dyDescent="0.35">
      <c r="A38" s="3">
        <v>42762</v>
      </c>
      <c r="B38" s="2" t="str">
        <f>TEXT(Table1[[#This Row],[Date]],"mmm")</f>
        <v>Jan</v>
      </c>
      <c r="C38" s="1">
        <f>YEAR(Table1[[#This Row],[Date]])</f>
        <v>2017</v>
      </c>
      <c r="D38" s="5">
        <v>122.139999</v>
      </c>
      <c r="E38" s="5">
        <v>122.349998</v>
      </c>
      <c r="F38" s="5">
        <v>121.599998</v>
      </c>
      <c r="G38" s="5">
        <v>121.949997</v>
      </c>
      <c r="H38" s="1">
        <v>20562900</v>
      </c>
      <c r="I38">
        <v>121.42355499999999</v>
      </c>
      <c r="J38">
        <v>115.1902357</v>
      </c>
      <c r="K38">
        <v>118.9356667</v>
      </c>
      <c r="L38">
        <v>122.6810976</v>
      </c>
      <c r="M38" s="5">
        <f>Table1[[#This Row],[AAPL.Close]] -Table1[[#This Row],[AAPL.Open]]</f>
        <v>-0.19000200000000689</v>
      </c>
      <c r="N38" s="4">
        <f>(Table1[[#This Row],[AAPL.Close]] - Table1[[#This Row],[AAPL.Open]]) /Table1[[#This Row],[AAPL.Open]]</f>
        <v>-1.5556083310595645E-3</v>
      </c>
      <c r="O38" s="4" t="str">
        <f>IF(Table1[[#This Row],[AAPL.Close]] &gt; Table1[[#This Row],[AAPL.Open]], "Up", "Down")</f>
        <v>Down</v>
      </c>
      <c r="P38" s="2" t="s">
        <v>11</v>
      </c>
    </row>
    <row r="39" spans="1:16" x14ac:dyDescent="0.35">
      <c r="A39" s="3">
        <v>42765</v>
      </c>
      <c r="B39" s="2" t="str">
        <f>TEXT(Table1[[#This Row],[Date]],"mmm")</f>
        <v>Jan</v>
      </c>
      <c r="C39" s="1">
        <f>YEAR(Table1[[#This Row],[Date]])</f>
        <v>2017</v>
      </c>
      <c r="D39" s="5">
        <v>120.93</v>
      </c>
      <c r="E39" s="5">
        <v>121.629997</v>
      </c>
      <c r="F39" s="5">
        <v>120.660004</v>
      </c>
      <c r="G39" s="5">
        <v>121.629997</v>
      </c>
      <c r="H39" s="1">
        <v>30377500</v>
      </c>
      <c r="I39">
        <v>121.10493700000001</v>
      </c>
      <c r="J39">
        <v>115.42384</v>
      </c>
      <c r="K39">
        <v>119.16366650000001</v>
      </c>
      <c r="L39">
        <v>122.903493</v>
      </c>
      <c r="M39" s="5">
        <f>Table1[[#This Row],[AAPL.Close]] -Table1[[#This Row],[AAPL.Open]]</f>
        <v>0.69999699999999621</v>
      </c>
      <c r="N39" s="4">
        <f>(Table1[[#This Row],[AAPL.Close]] - Table1[[#This Row],[AAPL.Open]]) /Table1[[#This Row],[AAPL.Open]]</f>
        <v>5.7884478623997032E-3</v>
      </c>
      <c r="O39" s="4" t="str">
        <f>IF(Table1[[#This Row],[AAPL.Close]] &gt; Table1[[#This Row],[AAPL.Open]], "Up", "Down")</f>
        <v>Up</v>
      </c>
      <c r="P39" s="2" t="s">
        <v>10</v>
      </c>
    </row>
    <row r="40" spans="1:16" x14ac:dyDescent="0.35">
      <c r="A40" s="3">
        <v>42766</v>
      </c>
      <c r="B40" s="2" t="str">
        <f>TEXT(Table1[[#This Row],[Date]],"mmm")</f>
        <v>Jan</v>
      </c>
      <c r="C40" s="1">
        <f>YEAR(Table1[[#This Row],[Date]])</f>
        <v>2017</v>
      </c>
      <c r="D40" s="5">
        <v>121.150002</v>
      </c>
      <c r="E40" s="5">
        <v>121.389999</v>
      </c>
      <c r="F40" s="5">
        <v>120.620003</v>
      </c>
      <c r="G40" s="5">
        <v>121.349998</v>
      </c>
      <c r="H40" s="1">
        <v>49201000</v>
      </c>
      <c r="I40">
        <v>120.82614700000001</v>
      </c>
      <c r="J40">
        <v>115.85010219999999</v>
      </c>
      <c r="K40">
        <v>119.41216660000001</v>
      </c>
      <c r="L40">
        <v>122.974231</v>
      </c>
      <c r="M40" s="5">
        <f>Table1[[#This Row],[AAPL.Close]] -Table1[[#This Row],[AAPL.Open]]</f>
        <v>0.19999599999999873</v>
      </c>
      <c r="N40" s="4">
        <f>(Table1[[#This Row],[AAPL.Close]] - Table1[[#This Row],[AAPL.Open]]) /Table1[[#This Row],[AAPL.Open]]</f>
        <v>1.6508130144314709E-3</v>
      </c>
      <c r="O40" s="4" t="str">
        <f>IF(Table1[[#This Row],[AAPL.Close]] &gt; Table1[[#This Row],[AAPL.Open]], "Up", "Down")</f>
        <v>Up</v>
      </c>
      <c r="P40" s="2" t="s">
        <v>10</v>
      </c>
    </row>
    <row r="41" spans="1:16" x14ac:dyDescent="0.35">
      <c r="A41" s="3">
        <v>42052</v>
      </c>
      <c r="B41" s="2" t="str">
        <f>TEXT(Table1[[#This Row],[Date]],"mmm")</f>
        <v>Feb</v>
      </c>
      <c r="C41" s="1">
        <f>YEAR(Table1[[#This Row],[Date]])</f>
        <v>2015</v>
      </c>
      <c r="D41" s="5">
        <v>127.489998</v>
      </c>
      <c r="E41" s="5">
        <v>128.88000500000001</v>
      </c>
      <c r="F41" s="5">
        <v>126.91999800000001</v>
      </c>
      <c r="G41" s="5">
        <v>127.83000199999999</v>
      </c>
      <c r="H41" s="1">
        <v>63152400</v>
      </c>
      <c r="I41">
        <v>122.905254</v>
      </c>
      <c r="J41">
        <v>106.74105230000001</v>
      </c>
      <c r="K41">
        <v>117.92766690000001</v>
      </c>
      <c r="L41">
        <v>129.11428140000001</v>
      </c>
      <c r="M41" s="5">
        <f>Table1[[#This Row],[AAPL.Close]] -Table1[[#This Row],[AAPL.Open]]</f>
        <v>0.34000399999999331</v>
      </c>
      <c r="N41" s="4">
        <f>(Table1[[#This Row],[AAPL.Close]] - Table1[[#This Row],[AAPL.Open]]) /Table1[[#This Row],[AAPL.Open]]</f>
        <v>2.6669072502455708E-3</v>
      </c>
      <c r="O41" s="4" t="str">
        <f>IF(Table1[[#This Row],[AAPL.Close]] &gt; Table1[[#This Row],[AAPL.Open]], "Up", "Down")</f>
        <v>Up</v>
      </c>
      <c r="P41" s="2" t="s">
        <v>10</v>
      </c>
    </row>
    <row r="42" spans="1:16" x14ac:dyDescent="0.35">
      <c r="A42" s="3">
        <v>42053</v>
      </c>
      <c r="B42" s="2" t="str">
        <f>TEXT(Table1[[#This Row],[Date]],"mmm")</f>
        <v>Feb</v>
      </c>
      <c r="C42" s="1">
        <f>YEAR(Table1[[#This Row],[Date]])</f>
        <v>2015</v>
      </c>
      <c r="D42" s="5">
        <v>127.629997</v>
      </c>
      <c r="E42" s="5">
        <v>128.779999</v>
      </c>
      <c r="F42" s="5">
        <v>127.449997</v>
      </c>
      <c r="G42" s="5">
        <v>128.720001</v>
      </c>
      <c r="H42" s="1">
        <v>44891700</v>
      </c>
      <c r="I42">
        <v>123.760965</v>
      </c>
      <c r="J42">
        <v>107.842423</v>
      </c>
      <c r="K42">
        <v>118.94033349999999</v>
      </c>
      <c r="L42">
        <v>130.0382439</v>
      </c>
      <c r="M42" s="5">
        <f>Table1[[#This Row],[AAPL.Close]] -Table1[[#This Row],[AAPL.Open]]</f>
        <v>1.0900039999999933</v>
      </c>
      <c r="N42" s="4">
        <f>(Table1[[#This Row],[AAPL.Close]] - Table1[[#This Row],[AAPL.Open]]) /Table1[[#This Row],[AAPL.Open]]</f>
        <v>8.5403433802477748E-3</v>
      </c>
      <c r="O42" s="4" t="str">
        <f>IF(Table1[[#This Row],[AAPL.Close]] &gt; Table1[[#This Row],[AAPL.Open]], "Up", "Down")</f>
        <v>Up</v>
      </c>
      <c r="P42" s="2" t="s">
        <v>10</v>
      </c>
    </row>
    <row r="43" spans="1:16" x14ac:dyDescent="0.35">
      <c r="A43" s="3">
        <v>42054</v>
      </c>
      <c r="B43" s="2" t="str">
        <f>TEXT(Table1[[#This Row],[Date]],"mmm")</f>
        <v>Feb</v>
      </c>
      <c r="C43" s="1">
        <f>YEAR(Table1[[#This Row],[Date]])</f>
        <v>2015</v>
      </c>
      <c r="D43" s="5">
        <v>128.479996</v>
      </c>
      <c r="E43" s="5">
        <v>129.029999</v>
      </c>
      <c r="F43" s="5">
        <v>128.33000200000001</v>
      </c>
      <c r="G43" s="5">
        <v>128.449997</v>
      </c>
      <c r="H43" s="1">
        <v>37362400</v>
      </c>
      <c r="I43">
        <v>123.501363</v>
      </c>
      <c r="J43">
        <v>108.8942449</v>
      </c>
      <c r="K43">
        <v>119.8891668</v>
      </c>
      <c r="L43">
        <v>130.88408870000001</v>
      </c>
      <c r="M43" s="5">
        <f>Table1[[#This Row],[AAPL.Close]] -Table1[[#This Row],[AAPL.Open]]</f>
        <v>-2.9999000000003662E-2</v>
      </c>
      <c r="N43" s="4">
        <f>(Table1[[#This Row],[AAPL.Close]] - Table1[[#This Row],[AAPL.Open]]) /Table1[[#This Row],[AAPL.Open]]</f>
        <v>-2.334916012917969E-4</v>
      </c>
      <c r="O43" s="4" t="str">
        <f>IF(Table1[[#This Row],[AAPL.Close]] &gt; Table1[[#This Row],[AAPL.Open]], "Up", "Down")</f>
        <v>Down</v>
      </c>
      <c r="P43" s="2" t="s">
        <v>11</v>
      </c>
    </row>
    <row r="44" spans="1:16" x14ac:dyDescent="0.35">
      <c r="A44" s="3">
        <v>42055</v>
      </c>
      <c r="B44" s="2" t="str">
        <f>TEXT(Table1[[#This Row],[Date]],"mmm")</f>
        <v>Feb</v>
      </c>
      <c r="C44" s="1">
        <f>YEAR(Table1[[#This Row],[Date]])</f>
        <v>2015</v>
      </c>
      <c r="D44" s="5">
        <v>128.61999499999999</v>
      </c>
      <c r="E44" s="5">
        <v>129.5</v>
      </c>
      <c r="F44" s="5">
        <v>128.050003</v>
      </c>
      <c r="G44" s="5">
        <v>129.5</v>
      </c>
      <c r="H44" s="1">
        <v>48948400</v>
      </c>
      <c r="I44">
        <v>124.510914</v>
      </c>
      <c r="J44">
        <v>109.7854494</v>
      </c>
      <c r="K44">
        <v>120.7635001</v>
      </c>
      <c r="L44">
        <v>131.74155089999999</v>
      </c>
      <c r="M44" s="5">
        <f>Table1[[#This Row],[AAPL.Close]] -Table1[[#This Row],[AAPL.Open]]</f>
        <v>0.88000500000001125</v>
      </c>
      <c r="N44" s="4">
        <f>(Table1[[#This Row],[AAPL.Close]] - Table1[[#This Row],[AAPL.Open]]) /Table1[[#This Row],[AAPL.Open]]</f>
        <v>6.8418988820518247E-3</v>
      </c>
      <c r="O44" s="4" t="str">
        <f>IF(Table1[[#This Row],[AAPL.Close]] &gt; Table1[[#This Row],[AAPL.Open]], "Up", "Down")</f>
        <v>Up</v>
      </c>
      <c r="P44" s="2" t="s">
        <v>10</v>
      </c>
    </row>
    <row r="45" spans="1:16" x14ac:dyDescent="0.35">
      <c r="A45" s="3">
        <v>42058</v>
      </c>
      <c r="B45" s="2" t="str">
        <f>TEXT(Table1[[#This Row],[Date]],"mmm")</f>
        <v>Feb</v>
      </c>
      <c r="C45" s="1">
        <f>YEAR(Table1[[#This Row],[Date]])</f>
        <v>2015</v>
      </c>
      <c r="D45" s="5">
        <v>130.020004</v>
      </c>
      <c r="E45" s="5">
        <v>133</v>
      </c>
      <c r="F45" s="5">
        <v>129.66000399999999</v>
      </c>
      <c r="G45" s="5">
        <v>133</v>
      </c>
      <c r="H45" s="1">
        <v>70974100</v>
      </c>
      <c r="I45">
        <v>127.876074</v>
      </c>
      <c r="J45">
        <v>110.37251620000001</v>
      </c>
      <c r="K45">
        <v>121.7201668</v>
      </c>
      <c r="L45">
        <v>133.0678174</v>
      </c>
      <c r="M45" s="5">
        <f>Table1[[#This Row],[AAPL.Close]] -Table1[[#This Row],[AAPL.Open]]</f>
        <v>2.9799959999999999</v>
      </c>
      <c r="N45" s="4">
        <f>(Table1[[#This Row],[AAPL.Close]] - Table1[[#This Row],[AAPL.Open]]) /Table1[[#This Row],[AAPL.Open]]</f>
        <v>2.2919519368727291E-2</v>
      </c>
      <c r="O45" s="4" t="str">
        <f>IF(Table1[[#This Row],[AAPL.Close]] &gt; Table1[[#This Row],[AAPL.Open]], "Up", "Down")</f>
        <v>Up</v>
      </c>
      <c r="P45" s="2" t="s">
        <v>10</v>
      </c>
    </row>
    <row r="46" spans="1:16" x14ac:dyDescent="0.35">
      <c r="A46" s="3">
        <v>42059</v>
      </c>
      <c r="B46" s="2" t="str">
        <f>TEXT(Table1[[#This Row],[Date]],"mmm")</f>
        <v>Feb</v>
      </c>
      <c r="C46" s="1">
        <f>YEAR(Table1[[#This Row],[Date]])</f>
        <v>2015</v>
      </c>
      <c r="D46" s="5">
        <v>132.94000199999999</v>
      </c>
      <c r="E46" s="5">
        <v>133.60000600000001</v>
      </c>
      <c r="F46" s="5">
        <v>131.16999799999999</v>
      </c>
      <c r="G46" s="5">
        <v>132.16999799999999</v>
      </c>
      <c r="H46" s="1">
        <v>69228100</v>
      </c>
      <c r="I46">
        <v>127.07804899999999</v>
      </c>
      <c r="J46">
        <v>111.09486889999999</v>
      </c>
      <c r="K46">
        <v>122.6648335</v>
      </c>
      <c r="L46">
        <v>134.23479810000001</v>
      </c>
      <c r="M46" s="5">
        <f>Table1[[#This Row],[AAPL.Close]] -Table1[[#This Row],[AAPL.Open]]</f>
        <v>-0.77000400000000013</v>
      </c>
      <c r="N46" s="4">
        <f>(Table1[[#This Row],[AAPL.Close]] - Table1[[#This Row],[AAPL.Open]]) /Table1[[#This Row],[AAPL.Open]]</f>
        <v>-5.7921166572571601E-3</v>
      </c>
      <c r="O46" s="4" t="str">
        <f>IF(Table1[[#This Row],[AAPL.Close]] &gt; Table1[[#This Row],[AAPL.Open]], "Up", "Down")</f>
        <v>Down</v>
      </c>
      <c r="P46" s="2" t="s">
        <v>11</v>
      </c>
    </row>
    <row r="47" spans="1:16" x14ac:dyDescent="0.35">
      <c r="A47" s="3">
        <v>42060</v>
      </c>
      <c r="B47" s="2" t="str">
        <f>TEXT(Table1[[#This Row],[Date]],"mmm")</f>
        <v>Feb</v>
      </c>
      <c r="C47" s="1">
        <f>YEAR(Table1[[#This Row],[Date]])</f>
        <v>2015</v>
      </c>
      <c r="D47" s="5">
        <v>131.55999800000001</v>
      </c>
      <c r="E47" s="5">
        <v>131.60000600000001</v>
      </c>
      <c r="F47" s="5">
        <v>128.14999399999999</v>
      </c>
      <c r="G47" s="5">
        <v>128.78999300000001</v>
      </c>
      <c r="H47" s="1">
        <v>74711700</v>
      </c>
      <c r="I47">
        <v>123.828261</v>
      </c>
      <c r="J47">
        <v>113.21191829999999</v>
      </c>
      <c r="K47">
        <v>123.6296667</v>
      </c>
      <c r="L47">
        <v>134.04741509999999</v>
      </c>
      <c r="M47" s="5">
        <f>Table1[[#This Row],[AAPL.Close]] -Table1[[#This Row],[AAPL.Open]]</f>
        <v>-2.7700049999999976</v>
      </c>
      <c r="N47" s="4">
        <f>(Table1[[#This Row],[AAPL.Close]] - Table1[[#This Row],[AAPL.Open]]) /Table1[[#This Row],[AAPL.Open]]</f>
        <v>-2.1055070250153071E-2</v>
      </c>
      <c r="O47" s="4" t="str">
        <f>IF(Table1[[#This Row],[AAPL.Close]] &gt; Table1[[#This Row],[AAPL.Open]], "Up", "Down")</f>
        <v>Down</v>
      </c>
      <c r="P47" s="2" t="s">
        <v>11</v>
      </c>
    </row>
    <row r="48" spans="1:16" x14ac:dyDescent="0.35">
      <c r="A48" s="3">
        <v>42061</v>
      </c>
      <c r="B48" s="2" t="str">
        <f>TEXT(Table1[[#This Row],[Date]],"mmm")</f>
        <v>Feb</v>
      </c>
      <c r="C48" s="1">
        <f>YEAR(Table1[[#This Row],[Date]])</f>
        <v>2015</v>
      </c>
      <c r="D48" s="5">
        <v>128.78999300000001</v>
      </c>
      <c r="E48" s="5">
        <v>130.86999499999999</v>
      </c>
      <c r="F48" s="5">
        <v>126.610001</v>
      </c>
      <c r="G48" s="5">
        <v>130.41999799999999</v>
      </c>
      <c r="H48" s="1">
        <v>91287500</v>
      </c>
      <c r="I48">
        <v>125.39546900000001</v>
      </c>
      <c r="J48">
        <v>114.1652991</v>
      </c>
      <c r="K48">
        <v>124.2823333</v>
      </c>
      <c r="L48">
        <v>134.39936739999999</v>
      </c>
      <c r="M48" s="5">
        <f>Table1[[#This Row],[AAPL.Close]] -Table1[[#This Row],[AAPL.Open]]</f>
        <v>1.6300049999999828</v>
      </c>
      <c r="N48" s="4">
        <f>(Table1[[#This Row],[AAPL.Close]] - Table1[[#This Row],[AAPL.Open]]) /Table1[[#This Row],[AAPL.Open]]</f>
        <v>1.2656301642938848E-2</v>
      </c>
      <c r="O48" s="4" t="str">
        <f>IF(Table1[[#This Row],[AAPL.Close]] &gt; Table1[[#This Row],[AAPL.Open]], "Up", "Down")</f>
        <v>Up</v>
      </c>
      <c r="P48" s="2" t="s">
        <v>10</v>
      </c>
    </row>
    <row r="49" spans="1:16" x14ac:dyDescent="0.35">
      <c r="A49" s="3">
        <v>42062</v>
      </c>
      <c r="B49" s="2" t="str">
        <f>TEXT(Table1[[#This Row],[Date]],"mmm")</f>
        <v>Feb</v>
      </c>
      <c r="C49" s="1">
        <f>YEAR(Table1[[#This Row],[Date]])</f>
        <v>2015</v>
      </c>
      <c r="D49" s="5">
        <v>130</v>
      </c>
      <c r="E49" s="5">
        <v>130.570007</v>
      </c>
      <c r="F49" s="5">
        <v>128.240005</v>
      </c>
      <c r="G49" s="5">
        <v>128.46000699999999</v>
      </c>
      <c r="H49" s="1">
        <v>62014800</v>
      </c>
      <c r="I49">
        <v>123.510987</v>
      </c>
      <c r="J49">
        <v>114.9668484</v>
      </c>
      <c r="K49">
        <v>124.8426669</v>
      </c>
      <c r="L49">
        <v>134.71848539999999</v>
      </c>
      <c r="M49" s="5">
        <f>Table1[[#This Row],[AAPL.Close]] -Table1[[#This Row],[AAPL.Open]]</f>
        <v>-1.5399930000000097</v>
      </c>
      <c r="N49" s="4">
        <f>(Table1[[#This Row],[AAPL.Close]] - Table1[[#This Row],[AAPL.Open]]) /Table1[[#This Row],[AAPL.Open]]</f>
        <v>-1.1846100000000075E-2</v>
      </c>
      <c r="O49" s="4" t="str">
        <f>IF(Table1[[#This Row],[AAPL.Close]] &gt; Table1[[#This Row],[AAPL.Open]], "Up", "Down")</f>
        <v>Down</v>
      </c>
      <c r="P49" s="2" t="s">
        <v>11</v>
      </c>
    </row>
    <row r="50" spans="1:16" x14ac:dyDescent="0.35">
      <c r="A50" s="3">
        <v>42401</v>
      </c>
      <c r="B50" s="2" t="str">
        <f>TEXT(Table1[[#This Row],[Date]],"mmm")</f>
        <v>Feb</v>
      </c>
      <c r="C50" s="1">
        <f>YEAR(Table1[[#This Row],[Date]])</f>
        <v>2016</v>
      </c>
      <c r="D50" s="5">
        <v>96.470000999999996</v>
      </c>
      <c r="E50" s="5">
        <v>96.709998999999996</v>
      </c>
      <c r="F50" s="5">
        <v>95.400002000000001</v>
      </c>
      <c r="G50" s="5">
        <v>96.43</v>
      </c>
      <c r="H50" s="1">
        <v>40943500</v>
      </c>
      <c r="I50">
        <v>93.923996000000002</v>
      </c>
      <c r="J50">
        <v>93.009258560000006</v>
      </c>
      <c r="K50">
        <v>98.3228328</v>
      </c>
      <c r="L50">
        <v>103.63640700000001</v>
      </c>
      <c r="M50" s="5">
        <f>Table1[[#This Row],[AAPL.Close]] -Table1[[#This Row],[AAPL.Open]]</f>
        <v>-4.0000999999989517E-2</v>
      </c>
      <c r="N50" s="4">
        <f>(Table1[[#This Row],[AAPL.Close]] - Table1[[#This Row],[AAPL.Open]]) /Table1[[#This Row],[AAPL.Open]]</f>
        <v>-4.1464703623242958E-4</v>
      </c>
      <c r="O50" s="4" t="str">
        <f>IF(Table1[[#This Row],[AAPL.Close]] &gt; Table1[[#This Row],[AAPL.Open]], "Up", "Down")</f>
        <v>Down</v>
      </c>
      <c r="P50" s="2" t="s">
        <v>11</v>
      </c>
    </row>
    <row r="51" spans="1:16" x14ac:dyDescent="0.35">
      <c r="A51" s="3">
        <v>42402</v>
      </c>
      <c r="B51" s="2" t="str">
        <f>TEXT(Table1[[#This Row],[Date]],"mmm")</f>
        <v>Feb</v>
      </c>
      <c r="C51" s="1">
        <f>YEAR(Table1[[#This Row],[Date]])</f>
        <v>2016</v>
      </c>
      <c r="D51" s="5">
        <v>95.419998000000007</v>
      </c>
      <c r="E51" s="5">
        <v>96.040001000000004</v>
      </c>
      <c r="F51" s="5">
        <v>94.279999000000004</v>
      </c>
      <c r="G51" s="5">
        <v>94.480002999999996</v>
      </c>
      <c r="H51" s="1">
        <v>37357200</v>
      </c>
      <c r="I51">
        <v>92.024675999999999</v>
      </c>
      <c r="J51">
        <v>93.096922169999999</v>
      </c>
      <c r="K51">
        <v>97.857499500000003</v>
      </c>
      <c r="L51">
        <v>102.6180768</v>
      </c>
      <c r="M51" s="5">
        <f>Table1[[#This Row],[AAPL.Close]] -Table1[[#This Row],[AAPL.Open]]</f>
        <v>-0.93999500000001035</v>
      </c>
      <c r="N51" s="4">
        <f>(Table1[[#This Row],[AAPL.Close]] - Table1[[#This Row],[AAPL.Open]]) /Table1[[#This Row],[AAPL.Open]]</f>
        <v>-9.8511320446685643E-3</v>
      </c>
      <c r="O51" s="4" t="str">
        <f>IF(Table1[[#This Row],[AAPL.Close]] &gt; Table1[[#This Row],[AAPL.Open]], "Up", "Down")</f>
        <v>Down</v>
      </c>
      <c r="P51" s="2" t="s">
        <v>11</v>
      </c>
    </row>
    <row r="52" spans="1:16" x14ac:dyDescent="0.35">
      <c r="A52" s="3">
        <v>42403</v>
      </c>
      <c r="B52" s="2" t="str">
        <f>TEXT(Table1[[#This Row],[Date]],"mmm")</f>
        <v>Feb</v>
      </c>
      <c r="C52" s="1">
        <f>YEAR(Table1[[#This Row],[Date]])</f>
        <v>2016</v>
      </c>
      <c r="D52" s="5">
        <v>95</v>
      </c>
      <c r="E52" s="5">
        <v>96.839995999999999</v>
      </c>
      <c r="F52" s="5">
        <v>94.080001999999993</v>
      </c>
      <c r="G52" s="5">
        <v>96.349997999999999</v>
      </c>
      <c r="H52" s="1">
        <v>45964300</v>
      </c>
      <c r="I52">
        <v>93.846074000000002</v>
      </c>
      <c r="J52">
        <v>93.438120170000005</v>
      </c>
      <c r="K52">
        <v>97.46249942</v>
      </c>
      <c r="L52">
        <v>101.48687870000001</v>
      </c>
      <c r="M52" s="5">
        <f>Table1[[#This Row],[AAPL.Close]] -Table1[[#This Row],[AAPL.Open]]</f>
        <v>1.3499979999999994</v>
      </c>
      <c r="N52" s="4">
        <f>(Table1[[#This Row],[AAPL.Close]] - Table1[[#This Row],[AAPL.Open]]) /Table1[[#This Row],[AAPL.Open]]</f>
        <v>1.4210505263157888E-2</v>
      </c>
      <c r="O52" s="4" t="str">
        <f>IF(Table1[[#This Row],[AAPL.Close]] &gt; Table1[[#This Row],[AAPL.Open]], "Up", "Down")</f>
        <v>Up</v>
      </c>
      <c r="P52" s="2" t="s">
        <v>10</v>
      </c>
    </row>
    <row r="53" spans="1:16" x14ac:dyDescent="0.35">
      <c r="A53" s="3">
        <v>42404</v>
      </c>
      <c r="B53" s="2" t="str">
        <f>TEXT(Table1[[#This Row],[Date]],"mmm")</f>
        <v>Feb</v>
      </c>
      <c r="C53" s="1">
        <f>YEAR(Table1[[#This Row],[Date]])</f>
        <v>2016</v>
      </c>
      <c r="D53" s="5">
        <v>95.860000999999997</v>
      </c>
      <c r="E53" s="5">
        <v>97.330001999999993</v>
      </c>
      <c r="F53" s="5">
        <v>95.190002000000007</v>
      </c>
      <c r="G53" s="5">
        <v>96.599997999999999</v>
      </c>
      <c r="H53" s="1">
        <v>46471700</v>
      </c>
      <c r="I53">
        <v>94.600127000000001</v>
      </c>
      <c r="J53">
        <v>93.524591749999999</v>
      </c>
      <c r="K53">
        <v>97.232166070000005</v>
      </c>
      <c r="L53">
        <v>100.93974040000001</v>
      </c>
      <c r="M53" s="5">
        <f>Table1[[#This Row],[AAPL.Close]] -Table1[[#This Row],[AAPL.Open]]</f>
        <v>0.73999700000000246</v>
      </c>
      <c r="N53" s="4">
        <f>(Table1[[#This Row],[AAPL.Close]] - Table1[[#This Row],[AAPL.Open]]) /Table1[[#This Row],[AAPL.Open]]</f>
        <v>7.7195596941419028E-3</v>
      </c>
      <c r="O53" s="4" t="str">
        <f>IF(Table1[[#This Row],[AAPL.Close]] &gt; Table1[[#This Row],[AAPL.Open]], "Up", "Down")</f>
        <v>Up</v>
      </c>
      <c r="P53" s="2" t="s">
        <v>10</v>
      </c>
    </row>
    <row r="54" spans="1:16" x14ac:dyDescent="0.35">
      <c r="A54" s="3">
        <v>42405</v>
      </c>
      <c r="B54" s="2" t="str">
        <f>TEXT(Table1[[#This Row],[Date]],"mmm")</f>
        <v>Feb</v>
      </c>
      <c r="C54" s="1">
        <f>YEAR(Table1[[#This Row],[Date]])</f>
        <v>2016</v>
      </c>
      <c r="D54" s="5">
        <v>96.519997000000004</v>
      </c>
      <c r="E54" s="5">
        <v>96.919998000000007</v>
      </c>
      <c r="F54" s="5">
        <v>93.690002000000007</v>
      </c>
      <c r="G54" s="5">
        <v>94.019997000000004</v>
      </c>
      <c r="H54" s="1">
        <v>46418100</v>
      </c>
      <c r="I54">
        <v>92.073537999999999</v>
      </c>
      <c r="J54">
        <v>93.253304569999997</v>
      </c>
      <c r="K54">
        <v>97.092499450000005</v>
      </c>
      <c r="L54">
        <v>100.9316943</v>
      </c>
      <c r="M54" s="5">
        <f>Table1[[#This Row],[AAPL.Close]] -Table1[[#This Row],[AAPL.Open]]</f>
        <v>-2.5</v>
      </c>
      <c r="N54" s="4">
        <f>(Table1[[#This Row],[AAPL.Close]] - Table1[[#This Row],[AAPL.Open]]) /Table1[[#This Row],[AAPL.Open]]</f>
        <v>-2.5901368397265905E-2</v>
      </c>
      <c r="O54" s="4" t="str">
        <f>IF(Table1[[#This Row],[AAPL.Close]] &gt; Table1[[#This Row],[AAPL.Open]], "Up", "Down")</f>
        <v>Down</v>
      </c>
      <c r="P54" s="2" t="s">
        <v>11</v>
      </c>
    </row>
    <row r="55" spans="1:16" x14ac:dyDescent="0.35">
      <c r="A55" s="3">
        <v>42408</v>
      </c>
      <c r="B55" s="2" t="str">
        <f>TEXT(Table1[[#This Row],[Date]],"mmm")</f>
        <v>Feb</v>
      </c>
      <c r="C55" s="1">
        <f>YEAR(Table1[[#This Row],[Date]])</f>
        <v>2016</v>
      </c>
      <c r="D55" s="5">
        <v>93.129997000000003</v>
      </c>
      <c r="E55" s="5">
        <v>95.699996999999996</v>
      </c>
      <c r="F55" s="5">
        <v>93.040001000000004</v>
      </c>
      <c r="G55" s="5">
        <v>95.010002</v>
      </c>
      <c r="H55" s="1">
        <v>54021400</v>
      </c>
      <c r="I55">
        <v>93.043047999999999</v>
      </c>
      <c r="J55">
        <v>92.959529279999998</v>
      </c>
      <c r="K55">
        <v>96.941166080000002</v>
      </c>
      <c r="L55">
        <v>100.92280289999999</v>
      </c>
      <c r="M55" s="5">
        <f>Table1[[#This Row],[AAPL.Close]] -Table1[[#This Row],[AAPL.Open]]</f>
        <v>1.880004999999997</v>
      </c>
      <c r="N55" s="4">
        <f>(Table1[[#This Row],[AAPL.Close]] - Table1[[#This Row],[AAPL.Open]]) /Table1[[#This Row],[AAPL.Open]]</f>
        <v>2.0186889944815493E-2</v>
      </c>
      <c r="O55" s="4" t="str">
        <f>IF(Table1[[#This Row],[AAPL.Close]] &gt; Table1[[#This Row],[AAPL.Open]], "Up", "Down")</f>
        <v>Up</v>
      </c>
      <c r="P55" s="2" t="s">
        <v>10</v>
      </c>
    </row>
    <row r="56" spans="1:16" x14ac:dyDescent="0.35">
      <c r="A56" s="3">
        <v>42409</v>
      </c>
      <c r="B56" s="2" t="str">
        <f>TEXT(Table1[[#This Row],[Date]],"mmm")</f>
        <v>Feb</v>
      </c>
      <c r="C56" s="1">
        <f>YEAR(Table1[[#This Row],[Date]])</f>
        <v>2016</v>
      </c>
      <c r="D56" s="5">
        <v>94.290001000000004</v>
      </c>
      <c r="E56" s="5">
        <v>95.940002000000007</v>
      </c>
      <c r="F56" s="5">
        <v>93.93</v>
      </c>
      <c r="G56" s="5">
        <v>94.989998</v>
      </c>
      <c r="H56" s="1">
        <v>44331200</v>
      </c>
      <c r="I56">
        <v>93.023458000000005</v>
      </c>
      <c r="J56">
        <v>92.753840920000002</v>
      </c>
      <c r="K56">
        <v>96.773332870000004</v>
      </c>
      <c r="L56">
        <v>100.79282480000001</v>
      </c>
      <c r="M56" s="5">
        <f>Table1[[#This Row],[AAPL.Close]] -Table1[[#This Row],[AAPL.Open]]</f>
        <v>0.69999699999999621</v>
      </c>
      <c r="N56" s="4">
        <f>(Table1[[#This Row],[AAPL.Close]] - Table1[[#This Row],[AAPL.Open]]) /Table1[[#This Row],[AAPL.Open]]</f>
        <v>7.42387307854622E-3</v>
      </c>
      <c r="O56" s="4" t="str">
        <f>IF(Table1[[#This Row],[AAPL.Close]] &gt; Table1[[#This Row],[AAPL.Open]], "Up", "Down")</f>
        <v>Up</v>
      </c>
      <c r="P56" s="2" t="s">
        <v>10</v>
      </c>
    </row>
    <row r="57" spans="1:16" x14ac:dyDescent="0.35">
      <c r="A57" s="3">
        <v>42410</v>
      </c>
      <c r="B57" s="2" t="str">
        <f>TEXT(Table1[[#This Row],[Date]],"mmm")</f>
        <v>Feb</v>
      </c>
      <c r="C57" s="1">
        <f>YEAR(Table1[[#This Row],[Date]])</f>
        <v>2016</v>
      </c>
      <c r="D57" s="5">
        <v>95.919998000000007</v>
      </c>
      <c r="E57" s="5">
        <v>96.349997999999999</v>
      </c>
      <c r="F57" s="5">
        <v>94.099997999999999</v>
      </c>
      <c r="G57" s="5">
        <v>94.269997000000004</v>
      </c>
      <c r="H57" s="1">
        <v>42343600</v>
      </c>
      <c r="I57">
        <v>92.318363000000005</v>
      </c>
      <c r="J57">
        <v>92.687612520000002</v>
      </c>
      <c r="K57">
        <v>96.527166129999998</v>
      </c>
      <c r="L57">
        <v>100.3667197</v>
      </c>
      <c r="M57" s="5">
        <f>Table1[[#This Row],[AAPL.Close]] -Table1[[#This Row],[AAPL.Open]]</f>
        <v>-1.6500010000000032</v>
      </c>
      <c r="N57" s="4">
        <f>(Table1[[#This Row],[AAPL.Close]] - Table1[[#This Row],[AAPL.Open]]) /Table1[[#This Row],[AAPL.Open]]</f>
        <v>-1.7201845646410491E-2</v>
      </c>
      <c r="O57" s="4" t="str">
        <f>IF(Table1[[#This Row],[AAPL.Close]] &gt; Table1[[#This Row],[AAPL.Open]], "Up", "Down")</f>
        <v>Down</v>
      </c>
      <c r="P57" s="2" t="s">
        <v>11</v>
      </c>
    </row>
    <row r="58" spans="1:16" x14ac:dyDescent="0.35">
      <c r="A58" s="3">
        <v>42411</v>
      </c>
      <c r="B58" s="2" t="str">
        <f>TEXT(Table1[[#This Row],[Date]],"mmm")</f>
        <v>Feb</v>
      </c>
      <c r="C58" s="1">
        <f>YEAR(Table1[[#This Row],[Date]])</f>
        <v>2016</v>
      </c>
      <c r="D58" s="5">
        <v>93.790001000000004</v>
      </c>
      <c r="E58" s="5">
        <v>94.720000999999996</v>
      </c>
      <c r="F58" s="5">
        <v>92.589995999999999</v>
      </c>
      <c r="G58" s="5">
        <v>93.699996999999996</v>
      </c>
      <c r="H58" s="1">
        <v>50074700</v>
      </c>
      <c r="I58">
        <v>91.760163000000006</v>
      </c>
      <c r="J58">
        <v>92.374516819999997</v>
      </c>
      <c r="K58">
        <v>96.279332629999999</v>
      </c>
      <c r="L58">
        <v>100.1841484</v>
      </c>
      <c r="M58" s="5">
        <f>Table1[[#This Row],[AAPL.Close]] -Table1[[#This Row],[AAPL.Open]]</f>
        <v>-9.0004000000007522E-2</v>
      </c>
      <c r="N58" s="4">
        <f>(Table1[[#This Row],[AAPL.Close]] - Table1[[#This Row],[AAPL.Open]]) /Table1[[#This Row],[AAPL.Open]]</f>
        <v>-9.5963321292647733E-4</v>
      </c>
      <c r="O58" s="4" t="str">
        <f>IF(Table1[[#This Row],[AAPL.Close]] &gt; Table1[[#This Row],[AAPL.Open]], "Up", "Down")</f>
        <v>Down</v>
      </c>
      <c r="P58" s="2" t="s">
        <v>11</v>
      </c>
    </row>
    <row r="59" spans="1:16" x14ac:dyDescent="0.35">
      <c r="A59" s="3">
        <v>42412</v>
      </c>
      <c r="B59" s="2" t="str">
        <f>TEXT(Table1[[#This Row],[Date]],"mmm")</f>
        <v>Feb</v>
      </c>
      <c r="C59" s="1">
        <f>YEAR(Table1[[#This Row],[Date]])</f>
        <v>2016</v>
      </c>
      <c r="D59" s="5">
        <v>94.190002000000007</v>
      </c>
      <c r="E59" s="5">
        <v>94.5</v>
      </c>
      <c r="F59" s="5">
        <v>93.010002</v>
      </c>
      <c r="G59" s="5">
        <v>93.989998</v>
      </c>
      <c r="H59" s="1">
        <v>40351400</v>
      </c>
      <c r="I59">
        <v>92.044160000000005</v>
      </c>
      <c r="J59">
        <v>92.148383120000005</v>
      </c>
      <c r="K59">
        <v>96.041999329999996</v>
      </c>
      <c r="L59">
        <v>99.935615540000001</v>
      </c>
      <c r="M59" s="5">
        <f>Table1[[#This Row],[AAPL.Close]] -Table1[[#This Row],[AAPL.Open]]</f>
        <v>-0.20000400000000695</v>
      </c>
      <c r="N59" s="4">
        <f>(Table1[[#This Row],[AAPL.Close]] - Table1[[#This Row],[AAPL.Open]]) /Table1[[#This Row],[AAPL.Open]]</f>
        <v>-2.123410083376014E-3</v>
      </c>
      <c r="O59" s="4" t="str">
        <f>IF(Table1[[#This Row],[AAPL.Close]] &gt; Table1[[#This Row],[AAPL.Open]], "Up", "Down")</f>
        <v>Down</v>
      </c>
      <c r="P59" s="2" t="s">
        <v>11</v>
      </c>
    </row>
    <row r="60" spans="1:16" x14ac:dyDescent="0.35">
      <c r="A60" s="3">
        <v>42416</v>
      </c>
      <c r="B60" s="2" t="str">
        <f>TEXT(Table1[[#This Row],[Date]],"mmm")</f>
        <v>Feb</v>
      </c>
      <c r="C60" s="1">
        <f>YEAR(Table1[[#This Row],[Date]])</f>
        <v>2016</v>
      </c>
      <c r="D60" s="5">
        <v>95.019997000000004</v>
      </c>
      <c r="E60" s="5">
        <v>96.849997999999999</v>
      </c>
      <c r="F60" s="5">
        <v>94.610000999999997</v>
      </c>
      <c r="G60" s="5">
        <v>96.639999000000003</v>
      </c>
      <c r="H60" s="1">
        <v>49057900</v>
      </c>
      <c r="I60">
        <v>94.639300000000006</v>
      </c>
      <c r="J60">
        <v>92.126306889999995</v>
      </c>
      <c r="K60">
        <v>96.006999350000001</v>
      </c>
      <c r="L60">
        <v>99.887691810000007</v>
      </c>
      <c r="M60" s="5">
        <f>Table1[[#This Row],[AAPL.Close]] -Table1[[#This Row],[AAPL.Open]]</f>
        <v>1.6200019999999995</v>
      </c>
      <c r="N60" s="4">
        <f>(Table1[[#This Row],[AAPL.Close]] - Table1[[#This Row],[AAPL.Open]]) /Table1[[#This Row],[AAPL.Open]]</f>
        <v>1.7049063893361305E-2</v>
      </c>
      <c r="O60" s="4" t="str">
        <f>IF(Table1[[#This Row],[AAPL.Close]] &gt; Table1[[#This Row],[AAPL.Open]], "Up", "Down")</f>
        <v>Up</v>
      </c>
      <c r="P60" s="2" t="s">
        <v>10</v>
      </c>
    </row>
    <row r="61" spans="1:16" x14ac:dyDescent="0.35">
      <c r="A61" s="3">
        <v>42417</v>
      </c>
      <c r="B61" s="2" t="str">
        <f>TEXT(Table1[[#This Row],[Date]],"mmm")</f>
        <v>Feb</v>
      </c>
      <c r="C61" s="1">
        <f>YEAR(Table1[[#This Row],[Date]])</f>
        <v>2016</v>
      </c>
      <c r="D61" s="5">
        <v>96.669998000000007</v>
      </c>
      <c r="E61" s="5">
        <v>98.209998999999996</v>
      </c>
      <c r="F61" s="5">
        <v>96.150002000000001</v>
      </c>
      <c r="G61" s="5">
        <v>98.120002999999997</v>
      </c>
      <c r="H61" s="1">
        <v>44863200</v>
      </c>
      <c r="I61">
        <v>96.088663999999994</v>
      </c>
      <c r="J61">
        <v>92.120032949999995</v>
      </c>
      <c r="K61">
        <v>96.034832649999998</v>
      </c>
      <c r="L61">
        <v>99.949632350000002</v>
      </c>
      <c r="M61" s="5">
        <f>Table1[[#This Row],[AAPL.Close]] -Table1[[#This Row],[AAPL.Open]]</f>
        <v>1.4500049999999902</v>
      </c>
      <c r="N61" s="4">
        <f>(Table1[[#This Row],[AAPL.Close]] - Table1[[#This Row],[AAPL.Open]]) /Table1[[#This Row],[AAPL.Open]]</f>
        <v>1.4999534809134785E-2</v>
      </c>
      <c r="O61" s="4" t="str">
        <f>IF(Table1[[#This Row],[AAPL.Close]] &gt; Table1[[#This Row],[AAPL.Open]], "Up", "Down")</f>
        <v>Up</v>
      </c>
      <c r="P61" s="2" t="s">
        <v>10</v>
      </c>
    </row>
    <row r="62" spans="1:16" x14ac:dyDescent="0.35">
      <c r="A62" s="3">
        <v>42418</v>
      </c>
      <c r="B62" s="2" t="str">
        <f>TEXT(Table1[[#This Row],[Date]],"mmm")</f>
        <v>Feb</v>
      </c>
      <c r="C62" s="1">
        <f>YEAR(Table1[[#This Row],[Date]])</f>
        <v>2016</v>
      </c>
      <c r="D62" s="5">
        <v>98.839995999999999</v>
      </c>
      <c r="E62" s="5">
        <v>98.889999000000003</v>
      </c>
      <c r="F62" s="5">
        <v>96.089995999999999</v>
      </c>
      <c r="G62" s="5">
        <v>96.260002</v>
      </c>
      <c r="H62" s="1">
        <v>39021000</v>
      </c>
      <c r="I62">
        <v>94.267169999999993</v>
      </c>
      <c r="J62">
        <v>92.140944149999996</v>
      </c>
      <c r="K62">
        <v>96.082165919999994</v>
      </c>
      <c r="L62">
        <v>100.0233877</v>
      </c>
      <c r="M62" s="5">
        <f>Table1[[#This Row],[AAPL.Close]] -Table1[[#This Row],[AAPL.Open]]</f>
        <v>-2.5799939999999992</v>
      </c>
      <c r="N62" s="4">
        <f>(Table1[[#This Row],[AAPL.Close]] - Table1[[#This Row],[AAPL.Open]]) /Table1[[#This Row],[AAPL.Open]]</f>
        <v>-2.6102732743938994E-2</v>
      </c>
      <c r="O62" s="4" t="str">
        <f>IF(Table1[[#This Row],[AAPL.Close]] &gt; Table1[[#This Row],[AAPL.Open]], "Up", "Down")</f>
        <v>Down</v>
      </c>
      <c r="P62" s="2" t="s">
        <v>11</v>
      </c>
    </row>
    <row r="63" spans="1:16" x14ac:dyDescent="0.35">
      <c r="A63" s="3">
        <v>42419</v>
      </c>
      <c r="B63" s="2" t="str">
        <f>TEXT(Table1[[#This Row],[Date]],"mmm")</f>
        <v>Feb</v>
      </c>
      <c r="C63" s="1">
        <f>YEAR(Table1[[#This Row],[Date]])</f>
        <v>2016</v>
      </c>
      <c r="D63" s="5">
        <v>96</v>
      </c>
      <c r="E63" s="5">
        <v>96.760002</v>
      </c>
      <c r="F63" s="5">
        <v>95.800003000000004</v>
      </c>
      <c r="G63" s="5">
        <v>96.040001000000004</v>
      </c>
      <c r="H63" s="1">
        <v>35374200</v>
      </c>
      <c r="I63">
        <v>94.051722999999996</v>
      </c>
      <c r="J63">
        <v>92.134114870000005</v>
      </c>
      <c r="K63">
        <v>96.073499319999996</v>
      </c>
      <c r="L63">
        <v>100.0128838</v>
      </c>
      <c r="M63" s="5">
        <f>Table1[[#This Row],[AAPL.Close]] -Table1[[#This Row],[AAPL.Open]]</f>
        <v>4.0001000000003728E-2</v>
      </c>
      <c r="N63" s="4">
        <f>(Table1[[#This Row],[AAPL.Close]] - Table1[[#This Row],[AAPL.Open]]) /Table1[[#This Row],[AAPL.Open]]</f>
        <v>4.1667708333337217E-4</v>
      </c>
      <c r="O63" s="4" t="str">
        <f>IF(Table1[[#This Row],[AAPL.Close]] &gt; Table1[[#This Row],[AAPL.Open]], "Up", "Down")</f>
        <v>Up</v>
      </c>
      <c r="P63" s="2" t="s">
        <v>10</v>
      </c>
    </row>
    <row r="64" spans="1:16" x14ac:dyDescent="0.35">
      <c r="A64" s="3">
        <v>42422</v>
      </c>
      <c r="B64" s="2" t="str">
        <f>TEXT(Table1[[#This Row],[Date]],"mmm")</f>
        <v>Feb</v>
      </c>
      <c r="C64" s="1">
        <f>YEAR(Table1[[#This Row],[Date]])</f>
        <v>2016</v>
      </c>
      <c r="D64" s="5">
        <v>96.309997999999993</v>
      </c>
      <c r="E64" s="5">
        <v>96.900002000000001</v>
      </c>
      <c r="F64" s="5">
        <v>95.919998000000007</v>
      </c>
      <c r="G64" s="5">
        <v>96.879997000000003</v>
      </c>
      <c r="H64" s="1">
        <v>34280800</v>
      </c>
      <c r="I64">
        <v>94.874329000000003</v>
      </c>
      <c r="J64">
        <v>92.468295519999998</v>
      </c>
      <c r="K64">
        <v>95.880999270000004</v>
      </c>
      <c r="L64">
        <v>99.293703010000002</v>
      </c>
      <c r="M64" s="5">
        <f>Table1[[#This Row],[AAPL.Close]] -Table1[[#This Row],[AAPL.Open]]</f>
        <v>0.56999900000000991</v>
      </c>
      <c r="N64" s="4">
        <f>(Table1[[#This Row],[AAPL.Close]] - Table1[[#This Row],[AAPL.Open]]) /Table1[[#This Row],[AAPL.Open]]</f>
        <v>5.9183782767808796E-3</v>
      </c>
      <c r="O64" s="4" t="str">
        <f>IF(Table1[[#This Row],[AAPL.Close]] &gt; Table1[[#This Row],[AAPL.Open]], "Up", "Down")</f>
        <v>Up</v>
      </c>
      <c r="P64" s="2" t="s">
        <v>10</v>
      </c>
    </row>
    <row r="65" spans="1:16" x14ac:dyDescent="0.35">
      <c r="A65" s="3">
        <v>42423</v>
      </c>
      <c r="B65" s="2" t="str">
        <f>TEXT(Table1[[#This Row],[Date]],"mmm")</f>
        <v>Feb</v>
      </c>
      <c r="C65" s="1">
        <f>YEAR(Table1[[#This Row],[Date]])</f>
        <v>2016</v>
      </c>
      <c r="D65" s="5">
        <v>96.400002000000001</v>
      </c>
      <c r="E65" s="5">
        <v>96.5</v>
      </c>
      <c r="F65" s="5">
        <v>94.550003000000004</v>
      </c>
      <c r="G65" s="5">
        <v>94.690002000000007</v>
      </c>
      <c r="H65" s="1">
        <v>31942600</v>
      </c>
      <c r="I65">
        <v>92.729673000000005</v>
      </c>
      <c r="J65">
        <v>92.811458180000002</v>
      </c>
      <c r="K65">
        <v>95.64033268</v>
      </c>
      <c r="L65">
        <v>98.469207190000006</v>
      </c>
      <c r="M65" s="5">
        <f>Table1[[#This Row],[AAPL.Close]] -Table1[[#This Row],[AAPL.Open]]</f>
        <v>-1.7099999999999937</v>
      </c>
      <c r="N65" s="4">
        <f>(Table1[[#This Row],[AAPL.Close]] - Table1[[#This Row],[AAPL.Open]]) /Table1[[#This Row],[AAPL.Open]]</f>
        <v>-1.7738588843597677E-2</v>
      </c>
      <c r="O65" s="4" t="str">
        <f>IF(Table1[[#This Row],[AAPL.Close]] &gt; Table1[[#This Row],[AAPL.Open]], "Up", "Down")</f>
        <v>Down</v>
      </c>
      <c r="P65" s="2" t="s">
        <v>11</v>
      </c>
    </row>
    <row r="66" spans="1:16" x14ac:dyDescent="0.35">
      <c r="A66" s="3">
        <v>42424</v>
      </c>
      <c r="B66" s="2" t="str">
        <f>TEXT(Table1[[#This Row],[Date]],"mmm")</f>
        <v>Feb</v>
      </c>
      <c r="C66" s="1">
        <f>YEAR(Table1[[#This Row],[Date]])</f>
        <v>2016</v>
      </c>
      <c r="D66" s="5">
        <v>93.980002999999996</v>
      </c>
      <c r="E66" s="5">
        <v>96.379997000000003</v>
      </c>
      <c r="F66" s="5">
        <v>93.32</v>
      </c>
      <c r="G66" s="5">
        <v>96.099997999999999</v>
      </c>
      <c r="H66" s="1">
        <v>36255700</v>
      </c>
      <c r="I66">
        <v>94.110478999999998</v>
      </c>
      <c r="J66">
        <v>93.269944120000005</v>
      </c>
      <c r="K66">
        <v>95.421332680000006</v>
      </c>
      <c r="L66">
        <v>97.572721250000001</v>
      </c>
      <c r="M66" s="5">
        <f>Table1[[#This Row],[AAPL.Close]] -Table1[[#This Row],[AAPL.Open]]</f>
        <v>2.119995000000003</v>
      </c>
      <c r="N66" s="4">
        <f>(Table1[[#This Row],[AAPL.Close]] - Table1[[#This Row],[AAPL.Open]]) /Table1[[#This Row],[AAPL.Open]]</f>
        <v>2.255793713903162E-2</v>
      </c>
      <c r="O66" s="4" t="str">
        <f>IF(Table1[[#This Row],[AAPL.Close]] &gt; Table1[[#This Row],[AAPL.Open]], "Up", "Down")</f>
        <v>Up</v>
      </c>
      <c r="P66" s="2" t="s">
        <v>10</v>
      </c>
    </row>
    <row r="67" spans="1:16" x14ac:dyDescent="0.35">
      <c r="A67" s="3">
        <v>42425</v>
      </c>
      <c r="B67" s="2" t="str">
        <f>TEXT(Table1[[#This Row],[Date]],"mmm")</f>
        <v>Feb</v>
      </c>
      <c r="C67" s="1">
        <f>YEAR(Table1[[#This Row],[Date]])</f>
        <v>2016</v>
      </c>
      <c r="D67" s="5">
        <v>96.050003000000004</v>
      </c>
      <c r="E67" s="5">
        <v>96.760002</v>
      </c>
      <c r="F67" s="5">
        <v>95.25</v>
      </c>
      <c r="G67" s="5">
        <v>96.760002</v>
      </c>
      <c r="H67" s="1">
        <v>27582700</v>
      </c>
      <c r="I67">
        <v>94.756817999999996</v>
      </c>
      <c r="J67">
        <v>93.377383980000005</v>
      </c>
      <c r="K67">
        <v>95.510999569999996</v>
      </c>
      <c r="L67">
        <v>97.644615150000007</v>
      </c>
      <c r="M67" s="5">
        <f>Table1[[#This Row],[AAPL.Close]] -Table1[[#This Row],[AAPL.Open]]</f>
        <v>0.70999899999999627</v>
      </c>
      <c r="N67" s="4">
        <f>(Table1[[#This Row],[AAPL.Close]] - Table1[[#This Row],[AAPL.Open]]) /Table1[[#This Row],[AAPL.Open]]</f>
        <v>7.3919726998862897E-3</v>
      </c>
      <c r="O67" s="4" t="str">
        <f>IF(Table1[[#This Row],[AAPL.Close]] &gt; Table1[[#This Row],[AAPL.Open]], "Up", "Down")</f>
        <v>Up</v>
      </c>
      <c r="P67" s="2" t="s">
        <v>10</v>
      </c>
    </row>
    <row r="68" spans="1:16" x14ac:dyDescent="0.35">
      <c r="A68" s="3">
        <v>42426</v>
      </c>
      <c r="B68" s="2" t="str">
        <f>TEXT(Table1[[#This Row],[Date]],"mmm")</f>
        <v>Feb</v>
      </c>
      <c r="C68" s="1">
        <f>YEAR(Table1[[#This Row],[Date]])</f>
        <v>2016</v>
      </c>
      <c r="D68" s="5">
        <v>97.199996999999996</v>
      </c>
      <c r="E68" s="5">
        <v>98.019997000000004</v>
      </c>
      <c r="F68" s="5">
        <v>96.580001999999993</v>
      </c>
      <c r="G68" s="5">
        <v>96.910004000000001</v>
      </c>
      <c r="H68" s="1">
        <v>28991100</v>
      </c>
      <c r="I68">
        <v>94.903715000000005</v>
      </c>
      <c r="J68">
        <v>93.612588790000004</v>
      </c>
      <c r="K68">
        <v>95.686166420000006</v>
      </c>
      <c r="L68">
        <v>97.759744040000001</v>
      </c>
      <c r="M68" s="5">
        <f>Table1[[#This Row],[AAPL.Close]] -Table1[[#This Row],[AAPL.Open]]</f>
        <v>-0.2899929999999955</v>
      </c>
      <c r="N68" s="4">
        <f>(Table1[[#This Row],[AAPL.Close]] - Table1[[#This Row],[AAPL.Open]]) /Table1[[#This Row],[AAPL.Open]]</f>
        <v>-2.9834671702715742E-3</v>
      </c>
      <c r="O68" s="4" t="str">
        <f>IF(Table1[[#This Row],[AAPL.Close]] &gt; Table1[[#This Row],[AAPL.Open]], "Up", "Down")</f>
        <v>Down</v>
      </c>
      <c r="P68" s="2" t="s">
        <v>11</v>
      </c>
    </row>
    <row r="69" spans="1:16" x14ac:dyDescent="0.35">
      <c r="A69" s="3">
        <v>42429</v>
      </c>
      <c r="B69" s="2" t="str">
        <f>TEXT(Table1[[#This Row],[Date]],"mmm")</f>
        <v>Feb</v>
      </c>
      <c r="C69" s="1">
        <f>YEAR(Table1[[#This Row],[Date]])</f>
        <v>2016</v>
      </c>
      <c r="D69" s="5">
        <v>96.860000999999997</v>
      </c>
      <c r="E69" s="5">
        <v>98.230002999999996</v>
      </c>
      <c r="F69" s="5">
        <v>96.650002000000001</v>
      </c>
      <c r="G69" s="5">
        <v>96.690002000000007</v>
      </c>
      <c r="H69" s="1">
        <v>35216300</v>
      </c>
      <c r="I69">
        <v>94.688267999999994</v>
      </c>
      <c r="J69">
        <v>93.570147109999994</v>
      </c>
      <c r="K69">
        <v>95.728500030000006</v>
      </c>
      <c r="L69">
        <v>97.886852959999999</v>
      </c>
      <c r="M69" s="5">
        <f>Table1[[#This Row],[AAPL.Close]] -Table1[[#This Row],[AAPL.Open]]</f>
        <v>-0.16999899999999002</v>
      </c>
      <c r="N69" s="4">
        <f>(Table1[[#This Row],[AAPL.Close]] - Table1[[#This Row],[AAPL.Open]]) /Table1[[#This Row],[AAPL.Open]]</f>
        <v>-1.7551001264184379E-3</v>
      </c>
      <c r="O69" s="4" t="str">
        <f>IF(Table1[[#This Row],[AAPL.Close]] &gt; Table1[[#This Row],[AAPL.Open]], "Up", "Down")</f>
        <v>Down</v>
      </c>
      <c r="P69" s="2" t="s">
        <v>11</v>
      </c>
    </row>
    <row r="70" spans="1:16" x14ac:dyDescent="0.35">
      <c r="A70" s="3">
        <v>42767</v>
      </c>
      <c r="B70" s="2" t="str">
        <f>TEXT(Table1[[#This Row],[Date]],"mmm")</f>
        <v>Feb</v>
      </c>
      <c r="C70" s="1">
        <f>YEAR(Table1[[#This Row],[Date]])</f>
        <v>2017</v>
      </c>
      <c r="D70" s="5">
        <v>127.029999</v>
      </c>
      <c r="E70" s="5">
        <v>130.490005</v>
      </c>
      <c r="F70" s="5">
        <v>127.010002</v>
      </c>
      <c r="G70" s="5">
        <v>128.75</v>
      </c>
      <c r="H70" s="1">
        <v>111985000</v>
      </c>
      <c r="I70">
        <v>128.19420299999999</v>
      </c>
      <c r="J70">
        <v>114.98795680000001</v>
      </c>
      <c r="K70">
        <v>120.06233330000001</v>
      </c>
      <c r="L70">
        <v>125.1367097</v>
      </c>
      <c r="M70" s="5">
        <f>Table1[[#This Row],[AAPL.Close]] -Table1[[#This Row],[AAPL.Open]]</f>
        <v>1.7200009999999963</v>
      </c>
      <c r="N70" s="4">
        <f>(Table1[[#This Row],[AAPL.Close]] - Table1[[#This Row],[AAPL.Open]]) /Table1[[#This Row],[AAPL.Open]]</f>
        <v>1.3540116614501401E-2</v>
      </c>
      <c r="O70" s="4" t="str">
        <f>IF(Table1[[#This Row],[AAPL.Close]] &gt; Table1[[#This Row],[AAPL.Open]], "Up", "Down")</f>
        <v>Up</v>
      </c>
      <c r="P70" s="2" t="s">
        <v>10</v>
      </c>
    </row>
    <row r="71" spans="1:16" x14ac:dyDescent="0.35">
      <c r="A71" s="3">
        <v>42768</v>
      </c>
      <c r="B71" s="2" t="str">
        <f>TEXT(Table1[[#This Row],[Date]],"mmm")</f>
        <v>Feb</v>
      </c>
      <c r="C71" s="1">
        <f>YEAR(Table1[[#This Row],[Date]])</f>
        <v>2017</v>
      </c>
      <c r="D71" s="5">
        <v>127.980003</v>
      </c>
      <c r="E71" s="5">
        <v>129.38999899999999</v>
      </c>
      <c r="F71" s="5">
        <v>127.779999</v>
      </c>
      <c r="G71" s="5">
        <v>128.529999</v>
      </c>
      <c r="H71" s="1">
        <v>33710400</v>
      </c>
      <c r="I71">
        <v>127.97515199999999</v>
      </c>
      <c r="J71">
        <v>114.72717470000001</v>
      </c>
      <c r="K71">
        <v>120.6859999</v>
      </c>
      <c r="L71">
        <v>126.64482510000001</v>
      </c>
      <c r="M71" s="5">
        <f>Table1[[#This Row],[AAPL.Close]] -Table1[[#This Row],[AAPL.Open]]</f>
        <v>0.54999600000000726</v>
      </c>
      <c r="N71" s="4">
        <f>(Table1[[#This Row],[AAPL.Close]] - Table1[[#This Row],[AAPL.Open]]) /Table1[[#This Row],[AAPL.Open]]</f>
        <v>4.2975151360170483E-3</v>
      </c>
      <c r="O71" s="4" t="str">
        <f>IF(Table1[[#This Row],[AAPL.Close]] &gt; Table1[[#This Row],[AAPL.Open]], "Up", "Down")</f>
        <v>Up</v>
      </c>
      <c r="P71" s="2" t="s">
        <v>10</v>
      </c>
    </row>
    <row r="72" spans="1:16" x14ac:dyDescent="0.35">
      <c r="A72" s="3">
        <v>42769</v>
      </c>
      <c r="B72" s="2" t="str">
        <f>TEXT(Table1[[#This Row],[Date]],"mmm")</f>
        <v>Feb</v>
      </c>
      <c r="C72" s="1">
        <f>YEAR(Table1[[#This Row],[Date]])</f>
        <v>2017</v>
      </c>
      <c r="D72" s="5">
        <v>128.30999800000001</v>
      </c>
      <c r="E72" s="5">
        <v>129.19000199999999</v>
      </c>
      <c r="F72" s="5">
        <v>128.16000399999999</v>
      </c>
      <c r="G72" s="5">
        <v>129.08000200000001</v>
      </c>
      <c r="H72" s="1">
        <v>24507300</v>
      </c>
      <c r="I72">
        <v>128.52278100000001</v>
      </c>
      <c r="J72">
        <v>114.70625560000001</v>
      </c>
      <c r="K72">
        <v>121.3051667</v>
      </c>
      <c r="L72">
        <v>127.9040778</v>
      </c>
      <c r="M72" s="5">
        <f>Table1[[#This Row],[AAPL.Close]] -Table1[[#This Row],[AAPL.Open]]</f>
        <v>0.77000400000000013</v>
      </c>
      <c r="N72" s="4">
        <f>(Table1[[#This Row],[AAPL.Close]] - Table1[[#This Row],[AAPL.Open]]) /Table1[[#This Row],[AAPL.Open]]</f>
        <v>6.0011223755143386E-3</v>
      </c>
      <c r="O72" s="4" t="str">
        <f>IF(Table1[[#This Row],[AAPL.Close]] &gt; Table1[[#This Row],[AAPL.Open]], "Up", "Down")</f>
        <v>Up</v>
      </c>
      <c r="P72" s="2" t="s">
        <v>10</v>
      </c>
    </row>
    <row r="73" spans="1:16" x14ac:dyDescent="0.35">
      <c r="A73" s="3">
        <v>42772</v>
      </c>
      <c r="B73" s="2" t="str">
        <f>TEXT(Table1[[#This Row],[Date]],"mmm")</f>
        <v>Feb</v>
      </c>
      <c r="C73" s="1">
        <f>YEAR(Table1[[#This Row],[Date]])</f>
        <v>2017</v>
      </c>
      <c r="D73" s="5">
        <v>129.13000500000001</v>
      </c>
      <c r="E73" s="5">
        <v>130.5</v>
      </c>
      <c r="F73" s="5">
        <v>128.89999399999999</v>
      </c>
      <c r="G73" s="5">
        <v>130.28999300000001</v>
      </c>
      <c r="H73" s="1">
        <v>26845900</v>
      </c>
      <c r="I73">
        <v>129.72754900000001</v>
      </c>
      <c r="J73">
        <v>114.5827171</v>
      </c>
      <c r="K73">
        <v>121.924333</v>
      </c>
      <c r="L73">
        <v>129.26594890000001</v>
      </c>
      <c r="M73" s="5">
        <f>Table1[[#This Row],[AAPL.Close]] -Table1[[#This Row],[AAPL.Open]]</f>
        <v>1.1599879999999985</v>
      </c>
      <c r="N73" s="4">
        <f>(Table1[[#This Row],[AAPL.Close]] - Table1[[#This Row],[AAPL.Open]]) /Table1[[#This Row],[AAPL.Open]]</f>
        <v>8.9831019521760137E-3</v>
      </c>
      <c r="O73" s="4" t="str">
        <f>IF(Table1[[#This Row],[AAPL.Close]] &gt; Table1[[#This Row],[AAPL.Open]], "Up", "Down")</f>
        <v>Up</v>
      </c>
      <c r="P73" s="2" t="s">
        <v>10</v>
      </c>
    </row>
    <row r="74" spans="1:16" x14ac:dyDescent="0.35">
      <c r="A74" s="3">
        <v>42773</v>
      </c>
      <c r="B74" s="2" t="str">
        <f>TEXT(Table1[[#This Row],[Date]],"mmm")</f>
        <v>Feb</v>
      </c>
      <c r="C74" s="1">
        <f>YEAR(Table1[[#This Row],[Date]])</f>
        <v>2017</v>
      </c>
      <c r="D74" s="5">
        <v>130.53999300000001</v>
      </c>
      <c r="E74" s="5">
        <v>132.08999600000001</v>
      </c>
      <c r="F74" s="5">
        <v>130.449997</v>
      </c>
      <c r="G74" s="5">
        <v>131.529999</v>
      </c>
      <c r="H74" s="1">
        <v>38183800</v>
      </c>
      <c r="I74">
        <v>130.96220099999999</v>
      </c>
      <c r="J74">
        <v>114.2978913</v>
      </c>
      <c r="K74">
        <v>122.5528329</v>
      </c>
      <c r="L74">
        <v>130.8077744</v>
      </c>
      <c r="M74" s="5">
        <f>Table1[[#This Row],[AAPL.Close]] -Table1[[#This Row],[AAPL.Open]]</f>
        <v>0.99000599999999395</v>
      </c>
      <c r="N74" s="4">
        <f>(Table1[[#This Row],[AAPL.Close]] - Table1[[#This Row],[AAPL.Open]]) /Table1[[#This Row],[AAPL.Open]]</f>
        <v>7.5839287045158174E-3</v>
      </c>
      <c r="O74" s="4" t="str">
        <f>IF(Table1[[#This Row],[AAPL.Close]] &gt; Table1[[#This Row],[AAPL.Open]], "Up", "Down")</f>
        <v>Up</v>
      </c>
      <c r="P74" s="2" t="s">
        <v>10</v>
      </c>
    </row>
    <row r="75" spans="1:16" x14ac:dyDescent="0.35">
      <c r="A75" s="3">
        <v>42774</v>
      </c>
      <c r="B75" s="2" t="str">
        <f>TEXT(Table1[[#This Row],[Date]],"mmm")</f>
        <v>Feb</v>
      </c>
      <c r="C75" s="1">
        <f>YEAR(Table1[[#This Row],[Date]])</f>
        <v>2017</v>
      </c>
      <c r="D75" s="5">
        <v>131.35000600000001</v>
      </c>
      <c r="E75" s="5">
        <v>132.220001</v>
      </c>
      <c r="F75" s="5">
        <v>131.220001</v>
      </c>
      <c r="G75" s="5">
        <v>132.03999300000001</v>
      </c>
      <c r="H75" s="1">
        <v>23004100</v>
      </c>
      <c r="I75">
        <v>131.46999400000001</v>
      </c>
      <c r="J75">
        <v>114.1945206</v>
      </c>
      <c r="K75">
        <v>123.19766610000001</v>
      </c>
      <c r="L75">
        <v>132.20081160000001</v>
      </c>
      <c r="M75" s="5">
        <f>Table1[[#This Row],[AAPL.Close]] -Table1[[#This Row],[AAPL.Open]]</f>
        <v>0.68998700000000213</v>
      </c>
      <c r="N75" s="4">
        <f>(Table1[[#This Row],[AAPL.Close]] - Table1[[#This Row],[AAPL.Open]]) /Table1[[#This Row],[AAPL.Open]]</f>
        <v>5.253041252240233E-3</v>
      </c>
      <c r="O75" s="4" t="str">
        <f>IF(Table1[[#This Row],[AAPL.Close]] &gt; Table1[[#This Row],[AAPL.Open]], "Up", "Down")</f>
        <v>Up</v>
      </c>
      <c r="P75" s="2" t="s">
        <v>10</v>
      </c>
    </row>
    <row r="76" spans="1:16" x14ac:dyDescent="0.35">
      <c r="A76" s="3">
        <v>42775</v>
      </c>
      <c r="B76" s="2" t="str">
        <f>TEXT(Table1[[#This Row],[Date]],"mmm")</f>
        <v>Feb</v>
      </c>
      <c r="C76" s="1">
        <f>YEAR(Table1[[#This Row],[Date]])</f>
        <v>2017</v>
      </c>
      <c r="D76" s="5">
        <v>131.64999399999999</v>
      </c>
      <c r="E76" s="5">
        <v>132.449997</v>
      </c>
      <c r="F76" s="5">
        <v>131.11999499999999</v>
      </c>
      <c r="G76" s="5">
        <v>132.41999799999999</v>
      </c>
      <c r="H76" s="1">
        <v>28349900</v>
      </c>
      <c r="I76">
        <v>132.41999799999999</v>
      </c>
      <c r="J76">
        <v>114.22840770000001</v>
      </c>
      <c r="K76">
        <v>123.826166</v>
      </c>
      <c r="L76">
        <v>133.42392419999999</v>
      </c>
      <c r="M76" s="5">
        <f>Table1[[#This Row],[AAPL.Close]] -Table1[[#This Row],[AAPL.Open]]</f>
        <v>0.77000400000000013</v>
      </c>
      <c r="N76" s="4">
        <f>(Table1[[#This Row],[AAPL.Close]] - Table1[[#This Row],[AAPL.Open]]) /Table1[[#This Row],[AAPL.Open]]</f>
        <v>5.8488722756797097E-3</v>
      </c>
      <c r="O76" s="4" t="str">
        <f>IF(Table1[[#This Row],[AAPL.Close]] &gt; Table1[[#This Row],[AAPL.Open]], "Up", "Down")</f>
        <v>Up</v>
      </c>
      <c r="P76" s="2" t="s">
        <v>10</v>
      </c>
    </row>
    <row r="77" spans="1:16" x14ac:dyDescent="0.35">
      <c r="A77" s="3">
        <v>42776</v>
      </c>
      <c r="B77" s="2" t="str">
        <f>TEXT(Table1[[#This Row],[Date]],"mmm")</f>
        <v>Feb</v>
      </c>
      <c r="C77" s="1">
        <f>YEAR(Table1[[#This Row],[Date]])</f>
        <v>2017</v>
      </c>
      <c r="D77" s="5">
        <v>132.46000699999999</v>
      </c>
      <c r="E77" s="5">
        <v>132.94000199999999</v>
      </c>
      <c r="F77" s="5">
        <v>132.050003</v>
      </c>
      <c r="G77" s="5">
        <v>132.11999499999999</v>
      </c>
      <c r="H77" s="1">
        <v>20065500</v>
      </c>
      <c r="I77">
        <v>132.11999499999999</v>
      </c>
      <c r="J77">
        <v>114.49400369999999</v>
      </c>
      <c r="K77">
        <v>124.49866590000001</v>
      </c>
      <c r="L77">
        <v>134.5033282</v>
      </c>
      <c r="M77" s="5">
        <f>Table1[[#This Row],[AAPL.Close]] -Table1[[#This Row],[AAPL.Open]]</f>
        <v>-0.34001200000000154</v>
      </c>
      <c r="N77" s="4">
        <f>(Table1[[#This Row],[AAPL.Close]] - Table1[[#This Row],[AAPL.Open]]) /Table1[[#This Row],[AAPL.Open]]</f>
        <v>-2.5669030804143138E-3</v>
      </c>
      <c r="O77" s="4" t="str">
        <f>IF(Table1[[#This Row],[AAPL.Close]] &gt; Table1[[#This Row],[AAPL.Open]], "Up", "Down")</f>
        <v>Down</v>
      </c>
      <c r="P77" s="2" t="s">
        <v>11</v>
      </c>
    </row>
    <row r="78" spans="1:16" x14ac:dyDescent="0.35">
      <c r="A78" s="3">
        <v>42779</v>
      </c>
      <c r="B78" s="2" t="str">
        <f>TEXT(Table1[[#This Row],[Date]],"mmm")</f>
        <v>Feb</v>
      </c>
      <c r="C78" s="1">
        <f>YEAR(Table1[[#This Row],[Date]])</f>
        <v>2017</v>
      </c>
      <c r="D78" s="5">
        <v>133.08000200000001</v>
      </c>
      <c r="E78" s="5">
        <v>133.820007</v>
      </c>
      <c r="F78" s="5">
        <v>132.75</v>
      </c>
      <c r="G78" s="5">
        <v>133.28999300000001</v>
      </c>
      <c r="H78" s="1">
        <v>23035400</v>
      </c>
      <c r="I78">
        <v>133.28999300000001</v>
      </c>
      <c r="J78">
        <v>114.82079779999999</v>
      </c>
      <c r="K78">
        <v>125.2051659</v>
      </c>
      <c r="L78">
        <v>135.58953389999999</v>
      </c>
      <c r="M78" s="5">
        <f>Table1[[#This Row],[AAPL.Close]] -Table1[[#This Row],[AAPL.Open]]</f>
        <v>0.20999100000000226</v>
      </c>
      <c r="N78" s="4">
        <f>(Table1[[#This Row],[AAPL.Close]] - Table1[[#This Row],[AAPL.Open]]) /Table1[[#This Row],[AAPL.Open]]</f>
        <v>1.5779305443653529E-3</v>
      </c>
      <c r="O78" s="4" t="str">
        <f>IF(Table1[[#This Row],[AAPL.Close]] &gt; Table1[[#This Row],[AAPL.Open]], "Up", "Down")</f>
        <v>Up</v>
      </c>
      <c r="P78" s="2" t="s">
        <v>10</v>
      </c>
    </row>
    <row r="79" spans="1:16" x14ac:dyDescent="0.35">
      <c r="A79" s="3">
        <v>42780</v>
      </c>
      <c r="B79" s="2" t="str">
        <f>TEXT(Table1[[#This Row],[Date]],"mmm")</f>
        <v>Feb</v>
      </c>
      <c r="C79" s="1">
        <f>YEAR(Table1[[#This Row],[Date]])</f>
        <v>2017</v>
      </c>
      <c r="D79" s="5">
        <v>133.470001</v>
      </c>
      <c r="E79" s="5">
        <v>135.08999600000001</v>
      </c>
      <c r="F79" s="5">
        <v>133.25</v>
      </c>
      <c r="G79" s="5">
        <v>135.020004</v>
      </c>
      <c r="H79" s="1">
        <v>32815500</v>
      </c>
      <c r="I79">
        <v>135.020004</v>
      </c>
      <c r="J79">
        <v>115.1757183</v>
      </c>
      <c r="K79">
        <v>125.9534992</v>
      </c>
      <c r="L79">
        <v>136.73128009999999</v>
      </c>
      <c r="M79" s="5">
        <f>Table1[[#This Row],[AAPL.Close]] -Table1[[#This Row],[AAPL.Open]]</f>
        <v>1.5500030000000038</v>
      </c>
      <c r="N79" s="4">
        <f>(Table1[[#This Row],[AAPL.Close]] - Table1[[#This Row],[AAPL.Open]]) /Table1[[#This Row],[AAPL.Open]]</f>
        <v>1.1613118965961526E-2</v>
      </c>
      <c r="O79" s="4" t="str">
        <f>IF(Table1[[#This Row],[AAPL.Close]] &gt; Table1[[#This Row],[AAPL.Open]], "Up", "Down")</f>
        <v>Up</v>
      </c>
      <c r="P79" s="2" t="s">
        <v>10</v>
      </c>
    </row>
    <row r="80" spans="1:16" x14ac:dyDescent="0.35">
      <c r="A80" s="3">
        <v>42781</v>
      </c>
      <c r="B80" s="2" t="str">
        <f>TEXT(Table1[[#This Row],[Date]],"mmm")</f>
        <v>Feb</v>
      </c>
      <c r="C80" s="1">
        <f>YEAR(Table1[[#This Row],[Date]])</f>
        <v>2017</v>
      </c>
      <c r="D80" s="5">
        <v>135.520004</v>
      </c>
      <c r="E80" s="5">
        <v>136.270004</v>
      </c>
      <c r="F80" s="5">
        <v>134.61999499999999</v>
      </c>
      <c r="G80" s="5">
        <v>135.509995</v>
      </c>
      <c r="H80" s="1">
        <v>35501600</v>
      </c>
      <c r="I80">
        <v>135.509995</v>
      </c>
      <c r="J80">
        <v>115.5450349</v>
      </c>
      <c r="K80">
        <v>126.72349920000001</v>
      </c>
      <c r="L80">
        <v>137.9019634</v>
      </c>
      <c r="M80" s="5">
        <f>Table1[[#This Row],[AAPL.Close]] -Table1[[#This Row],[AAPL.Open]]</f>
        <v>-1.0008999999996604E-2</v>
      </c>
      <c r="N80" s="4">
        <f>(Table1[[#This Row],[AAPL.Close]] - Table1[[#This Row],[AAPL.Open]]) /Table1[[#This Row],[AAPL.Open]]</f>
        <v>-7.3856255199022903E-5</v>
      </c>
      <c r="O80" s="4" t="str">
        <f>IF(Table1[[#This Row],[AAPL.Close]] &gt; Table1[[#This Row],[AAPL.Open]], "Up", "Down")</f>
        <v>Down</v>
      </c>
      <c r="P80" s="2" t="s">
        <v>11</v>
      </c>
    </row>
    <row r="81" spans="1:16" x14ac:dyDescent="0.35">
      <c r="A81" s="3">
        <v>42782</v>
      </c>
      <c r="B81" s="2" t="str">
        <f>TEXT(Table1[[#This Row],[Date]],"mmm")</f>
        <v>Feb</v>
      </c>
      <c r="C81" s="1">
        <f>YEAR(Table1[[#This Row],[Date]])</f>
        <v>2017</v>
      </c>
      <c r="D81" s="5">
        <v>135.66999799999999</v>
      </c>
      <c r="E81" s="5">
        <v>135.89999399999999</v>
      </c>
      <c r="F81" s="5">
        <v>134.83999600000001</v>
      </c>
      <c r="G81" s="5">
        <v>135.35000600000001</v>
      </c>
      <c r="H81" s="1">
        <v>22118000</v>
      </c>
      <c r="I81">
        <v>135.35000600000001</v>
      </c>
      <c r="J81">
        <v>116.2032988</v>
      </c>
      <c r="K81">
        <v>127.5043325</v>
      </c>
      <c r="L81">
        <v>138.80536620000001</v>
      </c>
      <c r="M81" s="5">
        <f>Table1[[#This Row],[AAPL.Close]] -Table1[[#This Row],[AAPL.Open]]</f>
        <v>-0.31999199999998496</v>
      </c>
      <c r="N81" s="4">
        <f>(Table1[[#This Row],[AAPL.Close]] - Table1[[#This Row],[AAPL.Open]]) /Table1[[#This Row],[AAPL.Open]]</f>
        <v>-2.3586054744394185E-3</v>
      </c>
      <c r="O81" s="4" t="str">
        <f>IF(Table1[[#This Row],[AAPL.Close]] &gt; Table1[[#This Row],[AAPL.Open]], "Up", "Down")</f>
        <v>Down</v>
      </c>
      <c r="P81" s="2" t="s">
        <v>11</v>
      </c>
    </row>
    <row r="82" spans="1:16" x14ac:dyDescent="0.35">
      <c r="A82" s="3">
        <v>42065</v>
      </c>
      <c r="B82" s="2" t="str">
        <f>TEXT(Table1[[#This Row],[Date]],"mmm")</f>
        <v>Mar</v>
      </c>
      <c r="C82" s="1">
        <f>YEAR(Table1[[#This Row],[Date]])</f>
        <v>2015</v>
      </c>
      <c r="D82" s="5">
        <v>129.25</v>
      </c>
      <c r="E82" s="5">
        <v>130.279999</v>
      </c>
      <c r="F82" s="5">
        <v>128.300003</v>
      </c>
      <c r="G82" s="5">
        <v>129.08999600000001</v>
      </c>
      <c r="H82" s="1">
        <v>48096700</v>
      </c>
      <c r="I82">
        <v>124.11670599999999</v>
      </c>
      <c r="J82">
        <v>115.8770904</v>
      </c>
      <c r="K82">
        <v>125.4036668</v>
      </c>
      <c r="L82">
        <v>134.93024320000001</v>
      </c>
      <c r="M82" s="5">
        <f>Table1[[#This Row],[AAPL.Close]] -Table1[[#This Row],[AAPL.Open]]</f>
        <v>-0.16000399999998649</v>
      </c>
      <c r="N82" s="4">
        <f>(Table1[[#This Row],[AAPL.Close]] - Table1[[#This Row],[AAPL.Open]]) /Table1[[#This Row],[AAPL.Open]]</f>
        <v>-1.2379419729205917E-3</v>
      </c>
      <c r="O82" s="4" t="str">
        <f>IF(Table1[[#This Row],[AAPL.Close]] &gt; Table1[[#This Row],[AAPL.Open]], "Up", "Down")</f>
        <v>Down</v>
      </c>
      <c r="P82" s="2" t="s">
        <v>11</v>
      </c>
    </row>
    <row r="83" spans="1:16" x14ac:dyDescent="0.35">
      <c r="A83" s="3">
        <v>42066</v>
      </c>
      <c r="B83" s="2" t="str">
        <f>TEXT(Table1[[#This Row],[Date]],"mmm")</f>
        <v>Mar</v>
      </c>
      <c r="C83" s="1">
        <f>YEAR(Table1[[#This Row],[Date]])</f>
        <v>2015</v>
      </c>
      <c r="D83" s="5">
        <v>128.96000699999999</v>
      </c>
      <c r="E83" s="5">
        <v>129.520004</v>
      </c>
      <c r="F83" s="5">
        <v>128.08999600000001</v>
      </c>
      <c r="G83" s="5">
        <v>129.36000100000001</v>
      </c>
      <c r="H83" s="1">
        <v>37816300</v>
      </c>
      <c r="I83">
        <v>124.37630799999999</v>
      </c>
      <c r="J83">
        <v>116.9535132</v>
      </c>
      <c r="K83">
        <v>125.95516689999999</v>
      </c>
      <c r="L83">
        <v>134.95682049999999</v>
      </c>
      <c r="M83" s="5">
        <f>Table1[[#This Row],[AAPL.Close]] -Table1[[#This Row],[AAPL.Open]]</f>
        <v>0.39999400000002083</v>
      </c>
      <c r="N83" s="4">
        <f>(Table1[[#This Row],[AAPL.Close]] - Table1[[#This Row],[AAPL.Open]]) /Table1[[#This Row],[AAPL.Open]]</f>
        <v>3.1016902782893059E-3</v>
      </c>
      <c r="O83" s="4" t="str">
        <f>IF(Table1[[#This Row],[AAPL.Close]] &gt; Table1[[#This Row],[AAPL.Open]], "Up", "Down")</f>
        <v>Up</v>
      </c>
      <c r="P83" s="2" t="s">
        <v>10</v>
      </c>
    </row>
    <row r="84" spans="1:16" x14ac:dyDescent="0.35">
      <c r="A84" s="3">
        <v>42067</v>
      </c>
      <c r="B84" s="2" t="str">
        <f>TEXT(Table1[[#This Row],[Date]],"mmm")</f>
        <v>Mar</v>
      </c>
      <c r="C84" s="1">
        <f>YEAR(Table1[[#This Row],[Date]])</f>
        <v>2015</v>
      </c>
      <c r="D84" s="5">
        <v>129.10000600000001</v>
      </c>
      <c r="E84" s="5">
        <v>129.55999800000001</v>
      </c>
      <c r="F84" s="5">
        <v>128.320007</v>
      </c>
      <c r="G84" s="5">
        <v>128.53999300000001</v>
      </c>
      <c r="H84" s="1">
        <v>31666300</v>
      </c>
      <c r="I84">
        <v>123.587892</v>
      </c>
      <c r="J84">
        <v>118.08742530000001</v>
      </c>
      <c r="K84">
        <v>126.4730002</v>
      </c>
      <c r="L84">
        <v>134.8585751</v>
      </c>
      <c r="M84" s="5">
        <f>Table1[[#This Row],[AAPL.Close]] -Table1[[#This Row],[AAPL.Open]]</f>
        <v>-0.56001299999999787</v>
      </c>
      <c r="N84" s="4">
        <f>(Table1[[#This Row],[AAPL.Close]] - Table1[[#This Row],[AAPL.Open]]) /Table1[[#This Row],[AAPL.Open]]</f>
        <v>-4.337823191115869E-3</v>
      </c>
      <c r="O84" s="4" t="str">
        <f>IF(Table1[[#This Row],[AAPL.Close]] &gt; Table1[[#This Row],[AAPL.Open]], "Up", "Down")</f>
        <v>Down</v>
      </c>
      <c r="P84" s="2" t="s">
        <v>11</v>
      </c>
    </row>
    <row r="85" spans="1:16" x14ac:dyDescent="0.35">
      <c r="A85" s="3">
        <v>42068</v>
      </c>
      <c r="B85" s="2" t="str">
        <f>TEXT(Table1[[#This Row],[Date]],"mmm")</f>
        <v>Mar</v>
      </c>
      <c r="C85" s="1">
        <f>YEAR(Table1[[#This Row],[Date]])</f>
        <v>2015</v>
      </c>
      <c r="D85" s="5">
        <v>128.58000200000001</v>
      </c>
      <c r="E85" s="5">
        <v>128.75</v>
      </c>
      <c r="F85" s="5">
        <v>125.760002</v>
      </c>
      <c r="G85" s="5">
        <v>126.410004</v>
      </c>
      <c r="H85" s="1">
        <v>56517100</v>
      </c>
      <c r="I85">
        <v>121.539962</v>
      </c>
      <c r="J85">
        <v>119.1048311</v>
      </c>
      <c r="K85">
        <v>126.84866700000001</v>
      </c>
      <c r="L85">
        <v>134.5925029</v>
      </c>
      <c r="M85" s="5">
        <f>Table1[[#This Row],[AAPL.Close]] -Table1[[#This Row],[AAPL.Open]]</f>
        <v>-2.1699980000000068</v>
      </c>
      <c r="N85" s="4">
        <f>(Table1[[#This Row],[AAPL.Close]] - Table1[[#This Row],[AAPL.Open]]) /Table1[[#This Row],[AAPL.Open]]</f>
        <v>-1.6876636850573438E-2</v>
      </c>
      <c r="O85" s="4" t="str">
        <f>IF(Table1[[#This Row],[AAPL.Close]] &gt; Table1[[#This Row],[AAPL.Open]], "Up", "Down")</f>
        <v>Down</v>
      </c>
      <c r="P85" s="2" t="s">
        <v>11</v>
      </c>
    </row>
    <row r="86" spans="1:16" x14ac:dyDescent="0.35">
      <c r="A86" s="3">
        <v>42069</v>
      </c>
      <c r="B86" s="2" t="str">
        <f>TEXT(Table1[[#This Row],[Date]],"mmm")</f>
        <v>Mar</v>
      </c>
      <c r="C86" s="1">
        <f>YEAR(Table1[[#This Row],[Date]])</f>
        <v>2015</v>
      </c>
      <c r="D86" s="5">
        <v>128.39999399999999</v>
      </c>
      <c r="E86" s="5">
        <v>129.36999499999999</v>
      </c>
      <c r="F86" s="5">
        <v>126.260002</v>
      </c>
      <c r="G86" s="5">
        <v>126.599998</v>
      </c>
      <c r="H86" s="1">
        <v>72842100</v>
      </c>
      <c r="I86">
        <v>121.72263700000001</v>
      </c>
      <c r="J86">
        <v>120.190797</v>
      </c>
      <c r="K86">
        <v>127.22883349999999</v>
      </c>
      <c r="L86">
        <v>134.26687000000001</v>
      </c>
      <c r="M86" s="5">
        <f>Table1[[#This Row],[AAPL.Close]] -Table1[[#This Row],[AAPL.Open]]</f>
        <v>-1.799995999999993</v>
      </c>
      <c r="N86" s="4">
        <f>(Table1[[#This Row],[AAPL.Close]] - Table1[[#This Row],[AAPL.Open]]) /Table1[[#This Row],[AAPL.Open]]</f>
        <v>-1.401866109121464E-2</v>
      </c>
      <c r="O86" s="4" t="str">
        <f>IF(Table1[[#This Row],[AAPL.Close]] &gt; Table1[[#This Row],[AAPL.Open]], "Up", "Down")</f>
        <v>Down</v>
      </c>
      <c r="P86" s="2" t="s">
        <v>11</v>
      </c>
    </row>
    <row r="87" spans="1:16" x14ac:dyDescent="0.35">
      <c r="A87" s="3">
        <v>42072</v>
      </c>
      <c r="B87" s="2" t="str">
        <f>TEXT(Table1[[#This Row],[Date]],"mmm")</f>
        <v>Mar</v>
      </c>
      <c r="C87" s="1">
        <f>YEAR(Table1[[#This Row],[Date]])</f>
        <v>2015</v>
      </c>
      <c r="D87" s="5">
        <v>127.959999</v>
      </c>
      <c r="E87" s="5">
        <v>129.570007</v>
      </c>
      <c r="F87" s="5">
        <v>125.05999799999999</v>
      </c>
      <c r="G87" s="5">
        <v>127.139999</v>
      </c>
      <c r="H87" s="1">
        <v>88528500</v>
      </c>
      <c r="I87">
        <v>122.241834</v>
      </c>
      <c r="J87">
        <v>121.6289771</v>
      </c>
      <c r="K87">
        <v>127.631167</v>
      </c>
      <c r="L87">
        <v>133.6333568</v>
      </c>
      <c r="M87" s="5">
        <f>Table1[[#This Row],[AAPL.Close]] -Table1[[#This Row],[AAPL.Open]]</f>
        <v>-0.81999999999999318</v>
      </c>
      <c r="N87" s="4">
        <f>(Table1[[#This Row],[AAPL.Close]] - Table1[[#This Row],[AAPL.Open]]) /Table1[[#This Row],[AAPL.Open]]</f>
        <v>-6.4082526290109862E-3</v>
      </c>
      <c r="O87" s="4" t="str">
        <f>IF(Table1[[#This Row],[AAPL.Close]] &gt; Table1[[#This Row],[AAPL.Open]], "Up", "Down")</f>
        <v>Down</v>
      </c>
      <c r="P87" s="2" t="s">
        <v>11</v>
      </c>
    </row>
    <row r="88" spans="1:16" x14ac:dyDescent="0.35">
      <c r="A88" s="3">
        <v>42073</v>
      </c>
      <c r="B88" s="2" t="str">
        <f>TEXT(Table1[[#This Row],[Date]],"mmm")</f>
        <v>Mar</v>
      </c>
      <c r="C88" s="1">
        <f>YEAR(Table1[[#This Row],[Date]])</f>
        <v>2015</v>
      </c>
      <c r="D88" s="5">
        <v>126.410004</v>
      </c>
      <c r="E88" s="5">
        <v>127.220001</v>
      </c>
      <c r="F88" s="5">
        <v>123.800003</v>
      </c>
      <c r="G88" s="5">
        <v>124.510002</v>
      </c>
      <c r="H88" s="1">
        <v>68856600</v>
      </c>
      <c r="I88">
        <v>119.71316</v>
      </c>
      <c r="J88">
        <v>123.1164763</v>
      </c>
      <c r="K88">
        <v>127.92350039999999</v>
      </c>
      <c r="L88">
        <v>132.7305246</v>
      </c>
      <c r="M88" s="5">
        <f>Table1[[#This Row],[AAPL.Close]] -Table1[[#This Row],[AAPL.Open]]</f>
        <v>-1.9000020000000006</v>
      </c>
      <c r="N88" s="4">
        <f>(Table1[[#This Row],[AAPL.Close]] - Table1[[#This Row],[AAPL.Open]]) /Table1[[#This Row],[AAPL.Open]]</f>
        <v>-1.5030471797153021E-2</v>
      </c>
      <c r="O88" s="4" t="str">
        <f>IF(Table1[[#This Row],[AAPL.Close]] &gt; Table1[[#This Row],[AAPL.Open]], "Up", "Down")</f>
        <v>Down</v>
      </c>
      <c r="P88" s="2" t="s">
        <v>11</v>
      </c>
    </row>
    <row r="89" spans="1:16" x14ac:dyDescent="0.35">
      <c r="A89" s="3">
        <v>42074</v>
      </c>
      <c r="B89" s="2" t="str">
        <f>TEXT(Table1[[#This Row],[Date]],"mmm")</f>
        <v>Mar</v>
      </c>
      <c r="C89" s="1">
        <f>YEAR(Table1[[#This Row],[Date]])</f>
        <v>2015</v>
      </c>
      <c r="D89" s="5">
        <v>124.75</v>
      </c>
      <c r="E89" s="5">
        <v>124.769997</v>
      </c>
      <c r="F89" s="5">
        <v>122.110001</v>
      </c>
      <c r="G89" s="5">
        <v>122.239998</v>
      </c>
      <c r="H89" s="1">
        <v>68939000</v>
      </c>
      <c r="I89">
        <v>117.530609</v>
      </c>
      <c r="J89">
        <v>123.59275599999999</v>
      </c>
      <c r="K89">
        <v>128.00333370000001</v>
      </c>
      <c r="L89">
        <v>132.4139113</v>
      </c>
      <c r="M89" s="5">
        <f>Table1[[#This Row],[AAPL.Close]] -Table1[[#This Row],[AAPL.Open]]</f>
        <v>-2.5100020000000001</v>
      </c>
      <c r="N89" s="4">
        <f>(Table1[[#This Row],[AAPL.Close]] - Table1[[#This Row],[AAPL.Open]]) /Table1[[#This Row],[AAPL.Open]]</f>
        <v>-2.0120256513026052E-2</v>
      </c>
      <c r="O89" s="4" t="str">
        <f>IF(Table1[[#This Row],[AAPL.Close]] &gt; Table1[[#This Row],[AAPL.Open]], "Up", "Down")</f>
        <v>Down</v>
      </c>
      <c r="P89" s="2" t="s">
        <v>11</v>
      </c>
    </row>
    <row r="90" spans="1:16" x14ac:dyDescent="0.35">
      <c r="A90" s="3">
        <v>42075</v>
      </c>
      <c r="B90" s="2" t="str">
        <f>TEXT(Table1[[#This Row],[Date]],"mmm")</f>
        <v>Mar</v>
      </c>
      <c r="C90" s="1">
        <f>YEAR(Table1[[#This Row],[Date]])</f>
        <v>2015</v>
      </c>
      <c r="D90" s="5">
        <v>122.30999799999999</v>
      </c>
      <c r="E90" s="5">
        <v>124.900002</v>
      </c>
      <c r="F90" s="5">
        <v>121.629997</v>
      </c>
      <c r="G90" s="5">
        <v>124.449997</v>
      </c>
      <c r="H90" s="1">
        <v>48362700</v>
      </c>
      <c r="I90">
        <v>119.655466</v>
      </c>
      <c r="J90">
        <v>123.4894559</v>
      </c>
      <c r="K90">
        <v>127.98133369999999</v>
      </c>
      <c r="L90">
        <v>132.4732114</v>
      </c>
      <c r="M90" s="5">
        <f>Table1[[#This Row],[AAPL.Close]] -Table1[[#This Row],[AAPL.Open]]</f>
        <v>2.1399990000000031</v>
      </c>
      <c r="N90" s="4">
        <f>(Table1[[#This Row],[AAPL.Close]] - Table1[[#This Row],[AAPL.Open]]) /Table1[[#This Row],[AAPL.Open]]</f>
        <v>1.7496517332949373E-2</v>
      </c>
      <c r="O90" s="4" t="str">
        <f>IF(Table1[[#This Row],[AAPL.Close]] &gt; Table1[[#This Row],[AAPL.Open]], "Up", "Down")</f>
        <v>Up</v>
      </c>
      <c r="P90" s="2" t="s">
        <v>10</v>
      </c>
    </row>
    <row r="91" spans="1:16" x14ac:dyDescent="0.35">
      <c r="A91" s="3">
        <v>42076</v>
      </c>
      <c r="B91" s="2" t="str">
        <f>TEXT(Table1[[#This Row],[Date]],"mmm")</f>
        <v>Mar</v>
      </c>
      <c r="C91" s="1">
        <f>YEAR(Table1[[#This Row],[Date]])</f>
        <v>2015</v>
      </c>
      <c r="D91" s="5">
        <v>124.400002</v>
      </c>
      <c r="E91" s="5">
        <v>125.400002</v>
      </c>
      <c r="F91" s="5">
        <v>122.58000199999999</v>
      </c>
      <c r="G91" s="5">
        <v>123.589996</v>
      </c>
      <c r="H91" s="1">
        <v>51827300</v>
      </c>
      <c r="I91">
        <v>118.828598</v>
      </c>
      <c r="J91">
        <v>123.04560600000001</v>
      </c>
      <c r="K91">
        <v>127.8490003</v>
      </c>
      <c r="L91">
        <v>132.65239460000001</v>
      </c>
      <c r="M91" s="5">
        <f>Table1[[#This Row],[AAPL.Close]] -Table1[[#This Row],[AAPL.Open]]</f>
        <v>-0.81000600000000134</v>
      </c>
      <c r="N91" s="4">
        <f>(Table1[[#This Row],[AAPL.Close]] - Table1[[#This Row],[AAPL.Open]]) /Table1[[#This Row],[AAPL.Open]]</f>
        <v>-6.511302146120555E-3</v>
      </c>
      <c r="O91" s="4" t="str">
        <f>IF(Table1[[#This Row],[AAPL.Close]] &gt; Table1[[#This Row],[AAPL.Open]], "Up", "Down")</f>
        <v>Down</v>
      </c>
      <c r="P91" s="2" t="s">
        <v>11</v>
      </c>
    </row>
    <row r="92" spans="1:16" x14ac:dyDescent="0.35">
      <c r="A92" s="3">
        <v>42079</v>
      </c>
      <c r="B92" s="2" t="str">
        <f>TEXT(Table1[[#This Row],[Date]],"mmm")</f>
        <v>Mar</v>
      </c>
      <c r="C92" s="1">
        <f>YEAR(Table1[[#This Row],[Date]])</f>
        <v>2015</v>
      </c>
      <c r="D92" s="5">
        <v>123.879997</v>
      </c>
      <c r="E92" s="5">
        <v>124.949997</v>
      </c>
      <c r="F92" s="5">
        <v>122.870003</v>
      </c>
      <c r="G92" s="5">
        <v>124.949997</v>
      </c>
      <c r="H92" s="1">
        <v>35874300</v>
      </c>
      <c r="I92">
        <v>120.13620299999999</v>
      </c>
      <c r="J92">
        <v>122.6967016</v>
      </c>
      <c r="K92">
        <v>127.72833350000001</v>
      </c>
      <c r="L92">
        <v>132.75996549999999</v>
      </c>
      <c r="M92" s="5">
        <f>Table1[[#This Row],[AAPL.Close]] -Table1[[#This Row],[AAPL.Open]]</f>
        <v>1.0699999999999932</v>
      </c>
      <c r="N92" s="4">
        <f>(Table1[[#This Row],[AAPL.Close]] - Table1[[#This Row],[AAPL.Open]]) /Table1[[#This Row],[AAPL.Open]]</f>
        <v>8.63739123274271E-3</v>
      </c>
      <c r="O92" s="4" t="str">
        <f>IF(Table1[[#This Row],[AAPL.Close]] &gt; Table1[[#This Row],[AAPL.Open]], "Up", "Down")</f>
        <v>Up</v>
      </c>
      <c r="P92" s="2" t="s">
        <v>10</v>
      </c>
    </row>
    <row r="93" spans="1:16" x14ac:dyDescent="0.35">
      <c r="A93" s="3">
        <v>42080</v>
      </c>
      <c r="B93" s="2" t="str">
        <f>TEXT(Table1[[#This Row],[Date]],"mmm")</f>
        <v>Mar</v>
      </c>
      <c r="C93" s="1">
        <f>YEAR(Table1[[#This Row],[Date]])</f>
        <v>2015</v>
      </c>
      <c r="D93" s="5">
        <v>125.900002</v>
      </c>
      <c r="E93" s="5">
        <v>127.32</v>
      </c>
      <c r="F93" s="5">
        <v>125.650002</v>
      </c>
      <c r="G93" s="5">
        <v>127.040001</v>
      </c>
      <c r="H93" s="1">
        <v>51023100</v>
      </c>
      <c r="I93">
        <v>122.14568800000001</v>
      </c>
      <c r="J93">
        <v>122.616033</v>
      </c>
      <c r="K93">
        <v>127.66800019999999</v>
      </c>
      <c r="L93">
        <v>132.7199674</v>
      </c>
      <c r="M93" s="5">
        <f>Table1[[#This Row],[AAPL.Close]] -Table1[[#This Row],[AAPL.Open]]</f>
        <v>1.1399990000000031</v>
      </c>
      <c r="N93" s="4">
        <f>(Table1[[#This Row],[AAPL.Close]] - Table1[[#This Row],[AAPL.Open]]) /Table1[[#This Row],[AAPL.Open]]</f>
        <v>9.0547973144591617E-3</v>
      </c>
      <c r="O93" s="4" t="str">
        <f>IF(Table1[[#This Row],[AAPL.Close]] &gt; Table1[[#This Row],[AAPL.Open]], "Up", "Down")</f>
        <v>Up</v>
      </c>
      <c r="P93" s="2" t="s">
        <v>10</v>
      </c>
    </row>
    <row r="94" spans="1:16" x14ac:dyDescent="0.35">
      <c r="A94" s="3">
        <v>42081</v>
      </c>
      <c r="B94" s="2" t="str">
        <f>TEXT(Table1[[#This Row],[Date]],"mmm")</f>
        <v>Mar</v>
      </c>
      <c r="C94" s="1">
        <f>YEAR(Table1[[#This Row],[Date]])</f>
        <v>2015</v>
      </c>
      <c r="D94" s="5">
        <v>127</v>
      </c>
      <c r="E94" s="5">
        <v>129.16000399999999</v>
      </c>
      <c r="F94" s="5">
        <v>126.370003</v>
      </c>
      <c r="G94" s="5">
        <v>128.470001</v>
      </c>
      <c r="H94" s="1">
        <v>65270900</v>
      </c>
      <c r="I94">
        <v>123.520597</v>
      </c>
      <c r="J94">
        <v>122.60644979999999</v>
      </c>
      <c r="K94">
        <v>127.65216700000001</v>
      </c>
      <c r="L94">
        <v>132.6978842</v>
      </c>
      <c r="M94" s="5">
        <f>Table1[[#This Row],[AAPL.Close]] -Table1[[#This Row],[AAPL.Open]]</f>
        <v>1.4700009999999963</v>
      </c>
      <c r="N94" s="4">
        <f>(Table1[[#This Row],[AAPL.Close]] - Table1[[#This Row],[AAPL.Open]]) /Table1[[#This Row],[AAPL.Open]]</f>
        <v>1.1574811023622018E-2</v>
      </c>
      <c r="O94" s="4" t="str">
        <f>IF(Table1[[#This Row],[AAPL.Close]] &gt; Table1[[#This Row],[AAPL.Open]], "Up", "Down")</f>
        <v>Up</v>
      </c>
      <c r="P94" s="2" t="s">
        <v>10</v>
      </c>
    </row>
    <row r="95" spans="1:16" x14ac:dyDescent="0.35">
      <c r="A95" s="3">
        <v>42082</v>
      </c>
      <c r="B95" s="2" t="str">
        <f>TEXT(Table1[[#This Row],[Date]],"mmm")</f>
        <v>Mar</v>
      </c>
      <c r="C95" s="1">
        <f>YEAR(Table1[[#This Row],[Date]])</f>
        <v>2015</v>
      </c>
      <c r="D95" s="5">
        <v>128.75</v>
      </c>
      <c r="E95" s="5">
        <v>129.25</v>
      </c>
      <c r="F95" s="5">
        <v>127.400002</v>
      </c>
      <c r="G95" s="5">
        <v>127.5</v>
      </c>
      <c r="H95" s="1">
        <v>45809500</v>
      </c>
      <c r="I95">
        <v>122.58796599999999</v>
      </c>
      <c r="J95">
        <v>122.5939029</v>
      </c>
      <c r="K95">
        <v>127.6245004</v>
      </c>
      <c r="L95">
        <v>132.65509789999999</v>
      </c>
      <c r="M95" s="5">
        <f>Table1[[#This Row],[AAPL.Close]] -Table1[[#This Row],[AAPL.Open]]</f>
        <v>-1.25</v>
      </c>
      <c r="N95" s="4">
        <f>(Table1[[#This Row],[AAPL.Close]] - Table1[[#This Row],[AAPL.Open]]) /Table1[[#This Row],[AAPL.Open]]</f>
        <v>-9.7087378640776691E-3</v>
      </c>
      <c r="O95" s="4" t="str">
        <f>IF(Table1[[#This Row],[AAPL.Close]] &gt; Table1[[#This Row],[AAPL.Open]], "Up", "Down")</f>
        <v>Down</v>
      </c>
      <c r="P95" s="2" t="s">
        <v>11</v>
      </c>
    </row>
    <row r="96" spans="1:16" x14ac:dyDescent="0.35">
      <c r="A96" s="3">
        <v>42083</v>
      </c>
      <c r="B96" s="2" t="str">
        <f>TEXT(Table1[[#This Row],[Date]],"mmm")</f>
        <v>Mar</v>
      </c>
      <c r="C96" s="1">
        <f>YEAR(Table1[[#This Row],[Date]])</f>
        <v>2015</v>
      </c>
      <c r="D96" s="5">
        <v>128.25</v>
      </c>
      <c r="E96" s="5">
        <v>128.39999399999999</v>
      </c>
      <c r="F96" s="5">
        <v>125.160004</v>
      </c>
      <c r="G96" s="5">
        <v>125.900002</v>
      </c>
      <c r="H96" s="1">
        <v>68695100</v>
      </c>
      <c r="I96">
        <v>121.04960800000001</v>
      </c>
      <c r="J96">
        <v>122.4865925</v>
      </c>
      <c r="K96">
        <v>127.4980004</v>
      </c>
      <c r="L96">
        <v>132.50940829999999</v>
      </c>
      <c r="M96" s="5">
        <f>Table1[[#This Row],[AAPL.Close]] -Table1[[#This Row],[AAPL.Open]]</f>
        <v>-2.3499979999999994</v>
      </c>
      <c r="N96" s="4">
        <f>(Table1[[#This Row],[AAPL.Close]] - Table1[[#This Row],[AAPL.Open]]) /Table1[[#This Row],[AAPL.Open]]</f>
        <v>-1.8323571150097463E-2</v>
      </c>
      <c r="O96" s="4" t="str">
        <f>IF(Table1[[#This Row],[AAPL.Close]] &gt; Table1[[#This Row],[AAPL.Open]], "Up", "Down")</f>
        <v>Down</v>
      </c>
      <c r="P96" s="2" t="s">
        <v>11</v>
      </c>
    </row>
    <row r="97" spans="1:16" x14ac:dyDescent="0.35">
      <c r="A97" s="3">
        <v>42086</v>
      </c>
      <c r="B97" s="2" t="str">
        <f>TEXT(Table1[[#This Row],[Date]],"mmm")</f>
        <v>Mar</v>
      </c>
      <c r="C97" s="1">
        <f>YEAR(Table1[[#This Row],[Date]])</f>
        <v>2015</v>
      </c>
      <c r="D97" s="5">
        <v>127.120003</v>
      </c>
      <c r="E97" s="5">
        <v>127.849998</v>
      </c>
      <c r="F97" s="5">
        <v>126.519997</v>
      </c>
      <c r="G97" s="5">
        <v>127.209999</v>
      </c>
      <c r="H97" s="1">
        <v>37709700</v>
      </c>
      <c r="I97">
        <v>122.30913700000001</v>
      </c>
      <c r="J97">
        <v>122.6741703</v>
      </c>
      <c r="K97">
        <v>127.2633335</v>
      </c>
      <c r="L97">
        <v>131.85249680000001</v>
      </c>
      <c r="M97" s="5">
        <f>Table1[[#This Row],[AAPL.Close]] -Table1[[#This Row],[AAPL.Open]]</f>
        <v>8.9995999999999299E-2</v>
      </c>
      <c r="N97" s="4">
        <f>(Table1[[#This Row],[AAPL.Close]] - Table1[[#This Row],[AAPL.Open]]) /Table1[[#This Row],[AAPL.Open]]</f>
        <v>7.0796096504182194E-4</v>
      </c>
      <c r="O97" s="4" t="str">
        <f>IF(Table1[[#This Row],[AAPL.Close]] &gt; Table1[[#This Row],[AAPL.Open]], "Up", "Down")</f>
        <v>Up</v>
      </c>
      <c r="P97" s="2" t="s">
        <v>10</v>
      </c>
    </row>
    <row r="98" spans="1:16" x14ac:dyDescent="0.35">
      <c r="A98" s="3">
        <v>42087</v>
      </c>
      <c r="B98" s="2" t="str">
        <f>TEXT(Table1[[#This Row],[Date]],"mmm")</f>
        <v>Mar</v>
      </c>
      <c r="C98" s="1">
        <f>YEAR(Table1[[#This Row],[Date]])</f>
        <v>2015</v>
      </c>
      <c r="D98" s="5">
        <v>127.230003</v>
      </c>
      <c r="E98" s="5">
        <v>128.03999300000001</v>
      </c>
      <c r="F98" s="5">
        <v>126.55999799999999</v>
      </c>
      <c r="G98" s="5">
        <v>126.69000200000001</v>
      </c>
      <c r="H98" s="1">
        <v>32842300</v>
      </c>
      <c r="I98">
        <v>121.809174</v>
      </c>
      <c r="J98">
        <v>123.0410183</v>
      </c>
      <c r="K98">
        <v>127.00250010000001</v>
      </c>
      <c r="L98">
        <v>130.9639818</v>
      </c>
      <c r="M98" s="5">
        <f>Table1[[#This Row],[AAPL.Close]] -Table1[[#This Row],[AAPL.Open]]</f>
        <v>-0.54000099999998952</v>
      </c>
      <c r="N98" s="4">
        <f>(Table1[[#This Row],[AAPL.Close]] - Table1[[#This Row],[AAPL.Open]]) /Table1[[#This Row],[AAPL.Open]]</f>
        <v>-4.2442897686639962E-3</v>
      </c>
      <c r="O98" s="4" t="str">
        <f>IF(Table1[[#This Row],[AAPL.Close]] &gt; Table1[[#This Row],[AAPL.Open]], "Up", "Down")</f>
        <v>Down</v>
      </c>
      <c r="P98" s="2" t="s">
        <v>11</v>
      </c>
    </row>
    <row r="99" spans="1:16" x14ac:dyDescent="0.35">
      <c r="A99" s="3">
        <v>42088</v>
      </c>
      <c r="B99" s="2" t="str">
        <f>TEXT(Table1[[#This Row],[Date]],"mmm")</f>
        <v>Mar</v>
      </c>
      <c r="C99" s="1">
        <f>YEAR(Table1[[#This Row],[Date]])</f>
        <v>2015</v>
      </c>
      <c r="D99" s="5">
        <v>126.540001</v>
      </c>
      <c r="E99" s="5">
        <v>126.82</v>
      </c>
      <c r="F99" s="5">
        <v>123.379997</v>
      </c>
      <c r="G99" s="5">
        <v>123.379997</v>
      </c>
      <c r="H99" s="1">
        <v>51655200</v>
      </c>
      <c r="I99">
        <v>118.626689</v>
      </c>
      <c r="J99">
        <v>122.82763919999999</v>
      </c>
      <c r="K99">
        <v>126.75316669999999</v>
      </c>
      <c r="L99">
        <v>130.67869429999999</v>
      </c>
      <c r="M99" s="5">
        <f>Table1[[#This Row],[AAPL.Close]] -Table1[[#This Row],[AAPL.Open]]</f>
        <v>-3.1600040000000007</v>
      </c>
      <c r="N99" s="4">
        <f>(Table1[[#This Row],[AAPL.Close]] - Table1[[#This Row],[AAPL.Open]]) /Table1[[#This Row],[AAPL.Open]]</f>
        <v>-2.4972372175024724E-2</v>
      </c>
      <c r="O99" s="4" t="str">
        <f>IF(Table1[[#This Row],[AAPL.Close]] &gt; Table1[[#This Row],[AAPL.Open]], "Up", "Down")</f>
        <v>Down</v>
      </c>
      <c r="P99" s="2" t="s">
        <v>11</v>
      </c>
    </row>
    <row r="100" spans="1:16" x14ac:dyDescent="0.35">
      <c r="A100" s="3">
        <v>42089</v>
      </c>
      <c r="B100" s="2" t="str">
        <f>TEXT(Table1[[#This Row],[Date]],"mmm")</f>
        <v>Mar</v>
      </c>
      <c r="C100" s="1">
        <f>YEAR(Table1[[#This Row],[Date]])</f>
        <v>2015</v>
      </c>
      <c r="D100" s="5">
        <v>122.760002</v>
      </c>
      <c r="E100" s="5">
        <v>124.879997</v>
      </c>
      <c r="F100" s="5">
        <v>122.599998</v>
      </c>
      <c r="G100" s="5">
        <v>124.239998</v>
      </c>
      <c r="H100" s="1">
        <v>47572900</v>
      </c>
      <c r="I100">
        <v>119.453558</v>
      </c>
      <c r="J100">
        <v>122.5538523</v>
      </c>
      <c r="K100">
        <v>126.4835001</v>
      </c>
      <c r="L100">
        <v>130.41314779999999</v>
      </c>
      <c r="M100" s="5">
        <f>Table1[[#This Row],[AAPL.Close]] -Table1[[#This Row],[AAPL.Open]]</f>
        <v>1.4799959999999999</v>
      </c>
      <c r="N100" s="4">
        <f>(Table1[[#This Row],[AAPL.Close]] - Table1[[#This Row],[AAPL.Open]]) /Table1[[#This Row],[AAPL.Open]]</f>
        <v>1.2056011533789318E-2</v>
      </c>
      <c r="O100" s="4" t="str">
        <f>IF(Table1[[#This Row],[AAPL.Close]] &gt; Table1[[#This Row],[AAPL.Open]], "Up", "Down")</f>
        <v>Up</v>
      </c>
      <c r="P100" s="2" t="s">
        <v>10</v>
      </c>
    </row>
    <row r="101" spans="1:16" x14ac:dyDescent="0.35">
      <c r="A101" s="3">
        <v>42090</v>
      </c>
      <c r="B101" s="2" t="str">
        <f>TEXT(Table1[[#This Row],[Date]],"mmm")</f>
        <v>Mar</v>
      </c>
      <c r="C101" s="1">
        <f>YEAR(Table1[[#This Row],[Date]])</f>
        <v>2015</v>
      </c>
      <c r="D101" s="5">
        <v>124.57</v>
      </c>
      <c r="E101" s="5">
        <v>124.699997</v>
      </c>
      <c r="F101" s="5">
        <v>122.910004</v>
      </c>
      <c r="G101" s="5">
        <v>123.25</v>
      </c>
      <c r="H101" s="1">
        <v>39546200</v>
      </c>
      <c r="I101">
        <v>118.5017</v>
      </c>
      <c r="J101">
        <v>122.28265039999999</v>
      </c>
      <c r="K101">
        <v>126.20999980000001</v>
      </c>
      <c r="L101">
        <v>130.13734909999999</v>
      </c>
      <c r="M101" s="5">
        <f>Table1[[#This Row],[AAPL.Close]] -Table1[[#This Row],[AAPL.Open]]</f>
        <v>-1.3199999999999932</v>
      </c>
      <c r="N101" s="4">
        <f>(Table1[[#This Row],[AAPL.Close]] - Table1[[#This Row],[AAPL.Open]]) /Table1[[#This Row],[AAPL.Open]]</f>
        <v>-1.0596451794171898E-2</v>
      </c>
      <c r="O101" s="4" t="str">
        <f>IF(Table1[[#This Row],[AAPL.Close]] &gt; Table1[[#This Row],[AAPL.Open]], "Up", "Down")</f>
        <v>Down</v>
      </c>
      <c r="P101" s="2" t="s">
        <v>11</v>
      </c>
    </row>
    <row r="102" spans="1:16" x14ac:dyDescent="0.35">
      <c r="A102" s="3">
        <v>42093</v>
      </c>
      <c r="B102" s="2" t="str">
        <f>TEXT(Table1[[#This Row],[Date]],"mmm")</f>
        <v>Mar</v>
      </c>
      <c r="C102" s="1">
        <f>YEAR(Table1[[#This Row],[Date]])</f>
        <v>2015</v>
      </c>
      <c r="D102" s="5">
        <v>124.050003</v>
      </c>
      <c r="E102" s="5">
        <v>126.400002</v>
      </c>
      <c r="F102" s="5">
        <v>124</v>
      </c>
      <c r="G102" s="5">
        <v>126.370003</v>
      </c>
      <c r="H102" s="1">
        <v>47099700</v>
      </c>
      <c r="I102">
        <v>121.501502</v>
      </c>
      <c r="J102">
        <v>122.346906</v>
      </c>
      <c r="K102">
        <v>126.02833320000001</v>
      </c>
      <c r="L102">
        <v>129.70976039999999</v>
      </c>
      <c r="M102" s="5">
        <f>Table1[[#This Row],[AAPL.Close]] -Table1[[#This Row],[AAPL.Open]]</f>
        <v>2.3199999999999932</v>
      </c>
      <c r="N102" s="4">
        <f>(Table1[[#This Row],[AAPL.Close]] - Table1[[#This Row],[AAPL.Open]]) /Table1[[#This Row],[AAPL.Open]]</f>
        <v>1.870213578310025E-2</v>
      </c>
      <c r="O102" s="4" t="str">
        <f>IF(Table1[[#This Row],[AAPL.Close]] &gt; Table1[[#This Row],[AAPL.Open]], "Up", "Down")</f>
        <v>Up</v>
      </c>
      <c r="P102" s="2" t="s">
        <v>10</v>
      </c>
    </row>
    <row r="103" spans="1:16" x14ac:dyDescent="0.35">
      <c r="A103" s="3">
        <v>42094</v>
      </c>
      <c r="B103" s="2" t="str">
        <f>TEXT(Table1[[#This Row],[Date]],"mmm")</f>
        <v>Mar</v>
      </c>
      <c r="C103" s="1">
        <f>YEAR(Table1[[#This Row],[Date]])</f>
        <v>2015</v>
      </c>
      <c r="D103" s="5">
        <v>126.089996</v>
      </c>
      <c r="E103" s="5">
        <v>126.489998</v>
      </c>
      <c r="F103" s="5">
        <v>124.360001</v>
      </c>
      <c r="G103" s="5">
        <v>124.43</v>
      </c>
      <c r="H103" s="1">
        <v>42090600</v>
      </c>
      <c r="I103">
        <v>119.63624</v>
      </c>
      <c r="J103">
        <v>122.395242</v>
      </c>
      <c r="K103">
        <v>125.8334998</v>
      </c>
      <c r="L103">
        <v>129.27175769999999</v>
      </c>
      <c r="M103" s="5">
        <f>Table1[[#This Row],[AAPL.Close]] -Table1[[#This Row],[AAPL.Open]]</f>
        <v>-1.6599959999999925</v>
      </c>
      <c r="N103" s="4">
        <f>(Table1[[#This Row],[AAPL.Close]] - Table1[[#This Row],[AAPL.Open]]) /Table1[[#This Row],[AAPL.Open]]</f>
        <v>-1.3165168154973948E-2</v>
      </c>
      <c r="O103" s="4" t="str">
        <f>IF(Table1[[#This Row],[AAPL.Close]] &gt; Table1[[#This Row],[AAPL.Open]], "Up", "Down")</f>
        <v>Down</v>
      </c>
      <c r="P103" s="2" t="s">
        <v>11</v>
      </c>
    </row>
    <row r="104" spans="1:16" x14ac:dyDescent="0.35">
      <c r="A104" s="3">
        <v>42430</v>
      </c>
      <c r="B104" s="2" t="str">
        <f>TEXT(Table1[[#This Row],[Date]],"mmm")</f>
        <v>Mar</v>
      </c>
      <c r="C104" s="1">
        <f>YEAR(Table1[[#This Row],[Date]])</f>
        <v>2016</v>
      </c>
      <c r="D104" s="5">
        <v>97.650002000000001</v>
      </c>
      <c r="E104" s="5">
        <v>100.769997</v>
      </c>
      <c r="F104" s="5">
        <v>97.419998000000007</v>
      </c>
      <c r="G104" s="5">
        <v>100.529999</v>
      </c>
      <c r="H104" s="1">
        <v>50407100</v>
      </c>
      <c r="I104">
        <v>98.448766000000006</v>
      </c>
      <c r="J104">
        <v>93.167028459999997</v>
      </c>
      <c r="K104">
        <v>95.898166579999994</v>
      </c>
      <c r="L104">
        <v>98.629304700000006</v>
      </c>
      <c r="M104" s="5">
        <f>Table1[[#This Row],[AAPL.Close]] -Table1[[#This Row],[AAPL.Open]]</f>
        <v>2.879997000000003</v>
      </c>
      <c r="N104" s="4">
        <f>(Table1[[#This Row],[AAPL.Close]] - Table1[[#This Row],[AAPL.Open]]) /Table1[[#This Row],[AAPL.Open]]</f>
        <v>2.949305623158106E-2</v>
      </c>
      <c r="O104" s="4" t="str">
        <f>IF(Table1[[#This Row],[AAPL.Close]] &gt; Table1[[#This Row],[AAPL.Open]], "Up", "Down")</f>
        <v>Up</v>
      </c>
      <c r="P104" s="2" t="s">
        <v>10</v>
      </c>
    </row>
    <row r="105" spans="1:16" x14ac:dyDescent="0.35">
      <c r="A105" s="3">
        <v>42431</v>
      </c>
      <c r="B105" s="2" t="str">
        <f>TEXT(Table1[[#This Row],[Date]],"mmm")</f>
        <v>Mar</v>
      </c>
      <c r="C105" s="1">
        <f>YEAR(Table1[[#This Row],[Date]])</f>
        <v>2016</v>
      </c>
      <c r="D105" s="5">
        <v>100.510002</v>
      </c>
      <c r="E105" s="5">
        <v>100.889999</v>
      </c>
      <c r="F105" s="5">
        <v>99.639999000000003</v>
      </c>
      <c r="G105" s="5">
        <v>100.75</v>
      </c>
      <c r="H105" s="1">
        <v>33169600</v>
      </c>
      <c r="I105">
        <v>98.664213000000004</v>
      </c>
      <c r="J105">
        <v>92.845277060000001</v>
      </c>
      <c r="K105">
        <v>96.172833170000004</v>
      </c>
      <c r="L105">
        <v>99.500389269999999</v>
      </c>
      <c r="M105" s="5">
        <f>Table1[[#This Row],[AAPL.Close]] -Table1[[#This Row],[AAPL.Open]]</f>
        <v>0.23999799999999993</v>
      </c>
      <c r="N105" s="4">
        <f>(Table1[[#This Row],[AAPL.Close]] - Table1[[#This Row],[AAPL.Open]]) /Table1[[#This Row],[AAPL.Open]]</f>
        <v>2.3878021612217253E-3</v>
      </c>
      <c r="O105" s="4" t="str">
        <f>IF(Table1[[#This Row],[AAPL.Close]] &gt; Table1[[#This Row],[AAPL.Open]], "Up", "Down")</f>
        <v>Up</v>
      </c>
      <c r="P105" s="2" t="s">
        <v>10</v>
      </c>
    </row>
    <row r="106" spans="1:16" x14ac:dyDescent="0.35">
      <c r="A106" s="3">
        <v>42432</v>
      </c>
      <c r="B106" s="2" t="str">
        <f>TEXT(Table1[[#This Row],[Date]],"mmm")</f>
        <v>Mar</v>
      </c>
      <c r="C106" s="1">
        <f>YEAR(Table1[[#This Row],[Date]])</f>
        <v>2016</v>
      </c>
      <c r="D106" s="5">
        <v>100.58000199999999</v>
      </c>
      <c r="E106" s="5">
        <v>101.709999</v>
      </c>
      <c r="F106" s="5">
        <v>100.449997</v>
      </c>
      <c r="G106" s="5">
        <v>101.5</v>
      </c>
      <c r="H106" s="1">
        <v>36955700</v>
      </c>
      <c r="I106">
        <v>99.398685999999998</v>
      </c>
      <c r="J106">
        <v>92.466767959999999</v>
      </c>
      <c r="K106">
        <v>96.445999830000005</v>
      </c>
      <c r="L106">
        <v>100.4252317</v>
      </c>
      <c r="M106" s="5">
        <f>Table1[[#This Row],[AAPL.Close]] -Table1[[#This Row],[AAPL.Open]]</f>
        <v>0.91999800000000675</v>
      </c>
      <c r="N106" s="4">
        <f>(Table1[[#This Row],[AAPL.Close]] - Table1[[#This Row],[AAPL.Open]]) /Table1[[#This Row],[AAPL.Open]]</f>
        <v>9.1469276367682588E-3</v>
      </c>
      <c r="O106" s="4" t="str">
        <f>IF(Table1[[#This Row],[AAPL.Close]] &gt; Table1[[#This Row],[AAPL.Open]], "Up", "Down")</f>
        <v>Up</v>
      </c>
      <c r="P106" s="2" t="s">
        <v>10</v>
      </c>
    </row>
    <row r="107" spans="1:16" x14ac:dyDescent="0.35">
      <c r="A107" s="3">
        <v>42433</v>
      </c>
      <c r="B107" s="2" t="str">
        <f>TEXT(Table1[[#This Row],[Date]],"mmm")</f>
        <v>Mar</v>
      </c>
      <c r="C107" s="1">
        <f>YEAR(Table1[[#This Row],[Date]])</f>
        <v>2016</v>
      </c>
      <c r="D107" s="5">
        <v>102.370003</v>
      </c>
      <c r="E107" s="5">
        <v>103.75</v>
      </c>
      <c r="F107" s="5">
        <v>101.370003</v>
      </c>
      <c r="G107" s="5">
        <v>103.010002</v>
      </c>
      <c r="H107" s="1">
        <v>46055100</v>
      </c>
      <c r="I107">
        <v>100.877427</v>
      </c>
      <c r="J107">
        <v>91.937976689999999</v>
      </c>
      <c r="K107">
        <v>96.762833220000005</v>
      </c>
      <c r="L107">
        <v>101.5876897</v>
      </c>
      <c r="M107" s="5">
        <f>Table1[[#This Row],[AAPL.Close]] -Table1[[#This Row],[AAPL.Open]]</f>
        <v>0.63999900000000309</v>
      </c>
      <c r="N107" s="4">
        <f>(Table1[[#This Row],[AAPL.Close]] - Table1[[#This Row],[AAPL.Open]]) /Table1[[#This Row],[AAPL.Open]]</f>
        <v>6.2518216395871665E-3</v>
      </c>
      <c r="O107" s="4" t="str">
        <f>IF(Table1[[#This Row],[AAPL.Close]] &gt; Table1[[#This Row],[AAPL.Open]], "Up", "Down")</f>
        <v>Up</v>
      </c>
      <c r="P107" s="2" t="s">
        <v>10</v>
      </c>
    </row>
    <row r="108" spans="1:16" x14ac:dyDescent="0.35">
      <c r="A108" s="3">
        <v>42436</v>
      </c>
      <c r="B108" s="2" t="str">
        <f>TEXT(Table1[[#This Row],[Date]],"mmm")</f>
        <v>Mar</v>
      </c>
      <c r="C108" s="1">
        <f>YEAR(Table1[[#This Row],[Date]])</f>
        <v>2016</v>
      </c>
      <c r="D108" s="5">
        <v>102.389999</v>
      </c>
      <c r="E108" s="5">
        <v>102.83000199999999</v>
      </c>
      <c r="F108" s="5">
        <v>100.959999</v>
      </c>
      <c r="G108" s="5">
        <v>101.870003</v>
      </c>
      <c r="H108" s="1">
        <v>35828900</v>
      </c>
      <c r="I108">
        <v>99.761028999999994</v>
      </c>
      <c r="J108">
        <v>91.885805230000003</v>
      </c>
      <c r="K108">
        <v>97.113333330000003</v>
      </c>
      <c r="L108">
        <v>102.34086139999999</v>
      </c>
      <c r="M108" s="5">
        <f>Table1[[#This Row],[AAPL.Close]] -Table1[[#This Row],[AAPL.Open]]</f>
        <v>-0.51999600000000612</v>
      </c>
      <c r="N108" s="4">
        <f>(Table1[[#This Row],[AAPL.Close]] - Table1[[#This Row],[AAPL.Open]]) /Table1[[#This Row],[AAPL.Open]]</f>
        <v>-5.0785819423633952E-3</v>
      </c>
      <c r="O108" s="4" t="str">
        <f>IF(Table1[[#This Row],[AAPL.Close]] &gt; Table1[[#This Row],[AAPL.Open]], "Up", "Down")</f>
        <v>Down</v>
      </c>
      <c r="P108" s="2" t="s">
        <v>11</v>
      </c>
    </row>
    <row r="109" spans="1:16" x14ac:dyDescent="0.35">
      <c r="A109" s="3">
        <v>42437</v>
      </c>
      <c r="B109" s="2" t="str">
        <f>TEXT(Table1[[#This Row],[Date]],"mmm")</f>
        <v>Mar</v>
      </c>
      <c r="C109" s="1">
        <f>YEAR(Table1[[#This Row],[Date]])</f>
        <v>2016</v>
      </c>
      <c r="D109" s="5">
        <v>100.779999</v>
      </c>
      <c r="E109" s="5">
        <v>101.760002</v>
      </c>
      <c r="F109" s="5">
        <v>100.400002</v>
      </c>
      <c r="G109" s="5">
        <v>101.029999</v>
      </c>
      <c r="H109" s="1">
        <v>31561900</v>
      </c>
      <c r="I109">
        <v>98.938415000000006</v>
      </c>
      <c r="J109">
        <v>92.075666889999994</v>
      </c>
      <c r="K109">
        <v>97.437333379999998</v>
      </c>
      <c r="L109">
        <v>102.7989999</v>
      </c>
      <c r="M109" s="5">
        <f>Table1[[#This Row],[AAPL.Close]] -Table1[[#This Row],[AAPL.Open]]</f>
        <v>0.25</v>
      </c>
      <c r="N109" s="4">
        <f>(Table1[[#This Row],[AAPL.Close]] - Table1[[#This Row],[AAPL.Open]]) /Table1[[#This Row],[AAPL.Open]]</f>
        <v>2.4806509474166595E-3</v>
      </c>
      <c r="O109" s="4" t="str">
        <f>IF(Table1[[#This Row],[AAPL.Close]] &gt; Table1[[#This Row],[AAPL.Open]], "Up", "Down")</f>
        <v>Up</v>
      </c>
      <c r="P109" s="2" t="s">
        <v>10</v>
      </c>
    </row>
    <row r="110" spans="1:16" x14ac:dyDescent="0.35">
      <c r="A110" s="3">
        <v>42438</v>
      </c>
      <c r="B110" s="2" t="str">
        <f>TEXT(Table1[[#This Row],[Date]],"mmm")</f>
        <v>Mar</v>
      </c>
      <c r="C110" s="1">
        <f>YEAR(Table1[[#This Row],[Date]])</f>
        <v>2016</v>
      </c>
      <c r="D110" s="5">
        <v>101.30999799999999</v>
      </c>
      <c r="E110" s="5">
        <v>101.58000199999999</v>
      </c>
      <c r="F110" s="5">
        <v>100.269997</v>
      </c>
      <c r="G110" s="5">
        <v>101.120003</v>
      </c>
      <c r="H110" s="1">
        <v>27201700</v>
      </c>
      <c r="I110">
        <v>99.026555999999999</v>
      </c>
      <c r="J110">
        <v>92.291847059999995</v>
      </c>
      <c r="K110">
        <v>97.739166749999995</v>
      </c>
      <c r="L110">
        <v>103.18648640000001</v>
      </c>
      <c r="M110" s="5">
        <f>Table1[[#This Row],[AAPL.Close]] -Table1[[#This Row],[AAPL.Open]]</f>
        <v>-0.18999499999999614</v>
      </c>
      <c r="N110" s="4">
        <f>(Table1[[#This Row],[AAPL.Close]] - Table1[[#This Row],[AAPL.Open]]) /Table1[[#This Row],[AAPL.Open]]</f>
        <v>-1.8753825264116199E-3</v>
      </c>
      <c r="O110" s="4" t="str">
        <f>IF(Table1[[#This Row],[AAPL.Close]] &gt; Table1[[#This Row],[AAPL.Open]], "Up", "Down")</f>
        <v>Down</v>
      </c>
      <c r="P110" s="2" t="s">
        <v>11</v>
      </c>
    </row>
    <row r="111" spans="1:16" x14ac:dyDescent="0.35">
      <c r="A111" s="3">
        <v>42439</v>
      </c>
      <c r="B111" s="2" t="str">
        <f>TEXT(Table1[[#This Row],[Date]],"mmm")</f>
        <v>Mar</v>
      </c>
      <c r="C111" s="1">
        <f>YEAR(Table1[[#This Row],[Date]])</f>
        <v>2016</v>
      </c>
      <c r="D111" s="5">
        <v>101.410004</v>
      </c>
      <c r="E111" s="5">
        <v>102.239998</v>
      </c>
      <c r="F111" s="5">
        <v>100.150002</v>
      </c>
      <c r="G111" s="5">
        <v>101.16999800000001</v>
      </c>
      <c r="H111" s="1">
        <v>33513600</v>
      </c>
      <c r="I111">
        <v>99.075515999999993</v>
      </c>
      <c r="J111">
        <v>92.571256239999997</v>
      </c>
      <c r="K111">
        <v>98.053166829999995</v>
      </c>
      <c r="L111">
        <v>103.53507740000001</v>
      </c>
      <c r="M111" s="5">
        <f>Table1[[#This Row],[AAPL.Close]] -Table1[[#This Row],[AAPL.Open]]</f>
        <v>-0.24000599999999395</v>
      </c>
      <c r="N111" s="4">
        <f>(Table1[[#This Row],[AAPL.Close]] - Table1[[#This Row],[AAPL.Open]]) /Table1[[#This Row],[AAPL.Open]]</f>
        <v>-2.3666895822230115E-3</v>
      </c>
      <c r="O111" s="4" t="str">
        <f>IF(Table1[[#This Row],[AAPL.Close]] &gt; Table1[[#This Row],[AAPL.Open]], "Up", "Down")</f>
        <v>Down</v>
      </c>
      <c r="P111" s="2" t="s">
        <v>11</v>
      </c>
    </row>
    <row r="112" spans="1:16" x14ac:dyDescent="0.35">
      <c r="A112" s="3">
        <v>42440</v>
      </c>
      <c r="B112" s="2" t="str">
        <f>TEXT(Table1[[#This Row],[Date]],"mmm")</f>
        <v>Mar</v>
      </c>
      <c r="C112" s="1">
        <f>YEAR(Table1[[#This Row],[Date]])</f>
        <v>2016</v>
      </c>
      <c r="D112" s="5">
        <v>102.239998</v>
      </c>
      <c r="E112" s="5">
        <v>102.279999</v>
      </c>
      <c r="F112" s="5">
        <v>101.5</v>
      </c>
      <c r="G112" s="5">
        <v>102.260002</v>
      </c>
      <c r="H112" s="1">
        <v>27408200</v>
      </c>
      <c r="I112">
        <v>100.142954</v>
      </c>
      <c r="J112">
        <v>93.117821890000002</v>
      </c>
      <c r="K112">
        <v>98.470333620000005</v>
      </c>
      <c r="L112">
        <v>103.8228453</v>
      </c>
      <c r="M112" s="5">
        <f>Table1[[#This Row],[AAPL.Close]] -Table1[[#This Row],[AAPL.Open]]</f>
        <v>2.0004000000000133E-2</v>
      </c>
      <c r="N112" s="4">
        <f>(Table1[[#This Row],[AAPL.Close]] - Table1[[#This Row],[AAPL.Open]]) /Table1[[#This Row],[AAPL.Open]]</f>
        <v>1.9565728082271807E-4</v>
      </c>
      <c r="O112" s="4" t="str">
        <f>IF(Table1[[#This Row],[AAPL.Close]] &gt; Table1[[#This Row],[AAPL.Open]], "Up", "Down")</f>
        <v>Up</v>
      </c>
      <c r="P112" s="2" t="s">
        <v>10</v>
      </c>
    </row>
    <row r="113" spans="1:16" x14ac:dyDescent="0.35">
      <c r="A113" s="3">
        <v>42443</v>
      </c>
      <c r="B113" s="2" t="str">
        <f>TEXT(Table1[[#This Row],[Date]],"mmm")</f>
        <v>Mar</v>
      </c>
      <c r="C113" s="1">
        <f>YEAR(Table1[[#This Row],[Date]])</f>
        <v>2016</v>
      </c>
      <c r="D113" s="5">
        <v>101.910004</v>
      </c>
      <c r="E113" s="5">
        <v>102.910004</v>
      </c>
      <c r="F113" s="5">
        <v>101.779999</v>
      </c>
      <c r="G113" s="5">
        <v>102.519997</v>
      </c>
      <c r="H113" s="1">
        <v>25076100</v>
      </c>
      <c r="I113">
        <v>100.397566</v>
      </c>
      <c r="J113">
        <v>93.730828610000003</v>
      </c>
      <c r="K113">
        <v>98.898833620000005</v>
      </c>
      <c r="L113">
        <v>104.0668386</v>
      </c>
      <c r="M113" s="5">
        <f>Table1[[#This Row],[AAPL.Close]] -Table1[[#This Row],[AAPL.Open]]</f>
        <v>0.60999300000000289</v>
      </c>
      <c r="N113" s="4">
        <f>(Table1[[#This Row],[AAPL.Close]] - Table1[[#This Row],[AAPL.Open]]) /Table1[[#This Row],[AAPL.Open]]</f>
        <v>5.9856047106033169E-3</v>
      </c>
      <c r="O113" s="4" t="str">
        <f>IF(Table1[[#This Row],[AAPL.Close]] &gt; Table1[[#This Row],[AAPL.Open]], "Up", "Down")</f>
        <v>Up</v>
      </c>
      <c r="P113" s="2" t="s">
        <v>10</v>
      </c>
    </row>
    <row r="114" spans="1:16" x14ac:dyDescent="0.35">
      <c r="A114" s="3">
        <v>42444</v>
      </c>
      <c r="B114" s="2" t="str">
        <f>TEXT(Table1[[#This Row],[Date]],"mmm")</f>
        <v>Mar</v>
      </c>
      <c r="C114" s="1">
        <f>YEAR(Table1[[#This Row],[Date]])</f>
        <v>2016</v>
      </c>
      <c r="D114" s="5">
        <v>103.959999</v>
      </c>
      <c r="E114" s="5">
        <v>105.18</v>
      </c>
      <c r="F114" s="5">
        <v>103.849998</v>
      </c>
      <c r="G114" s="5">
        <v>104.58000199999999</v>
      </c>
      <c r="H114" s="1">
        <v>40067700</v>
      </c>
      <c r="I114">
        <v>102.414924</v>
      </c>
      <c r="J114">
        <v>93.783240259999999</v>
      </c>
      <c r="K114">
        <v>99.324000319999996</v>
      </c>
      <c r="L114">
        <v>104.86476039999999</v>
      </c>
      <c r="M114" s="5">
        <f>Table1[[#This Row],[AAPL.Close]] -Table1[[#This Row],[AAPL.Open]]</f>
        <v>0.62000299999999697</v>
      </c>
      <c r="N114" s="4">
        <f>(Table1[[#This Row],[AAPL.Close]] - Table1[[#This Row],[AAPL.Open]]) /Table1[[#This Row],[AAPL.Open]]</f>
        <v>5.9638611577900935E-3</v>
      </c>
      <c r="O114" s="4" t="str">
        <f>IF(Table1[[#This Row],[AAPL.Close]] &gt; Table1[[#This Row],[AAPL.Open]], "Up", "Down")</f>
        <v>Up</v>
      </c>
      <c r="P114" s="2" t="s">
        <v>10</v>
      </c>
    </row>
    <row r="115" spans="1:16" x14ac:dyDescent="0.35">
      <c r="A115" s="3">
        <v>42445</v>
      </c>
      <c r="B115" s="2" t="str">
        <f>TEXT(Table1[[#This Row],[Date]],"mmm")</f>
        <v>Mar</v>
      </c>
      <c r="C115" s="1">
        <f>YEAR(Table1[[#This Row],[Date]])</f>
        <v>2016</v>
      </c>
      <c r="D115" s="5">
        <v>104.610001</v>
      </c>
      <c r="E115" s="5">
        <v>106.30999799999999</v>
      </c>
      <c r="F115" s="5">
        <v>104.589996</v>
      </c>
      <c r="G115" s="5">
        <v>105.970001</v>
      </c>
      <c r="H115" s="1">
        <v>38303500</v>
      </c>
      <c r="I115">
        <v>103.77614699999999</v>
      </c>
      <c r="J115">
        <v>93.622709959999995</v>
      </c>
      <c r="K115">
        <v>99.730500169999999</v>
      </c>
      <c r="L115">
        <v>105.83829040000001</v>
      </c>
      <c r="M115" s="5">
        <f>Table1[[#This Row],[AAPL.Close]] -Table1[[#This Row],[AAPL.Open]]</f>
        <v>1.3599999999999994</v>
      </c>
      <c r="N115" s="4">
        <f>(Table1[[#This Row],[AAPL.Close]] - Table1[[#This Row],[AAPL.Open]]) /Table1[[#This Row],[AAPL.Open]]</f>
        <v>1.3000669027811208E-2</v>
      </c>
      <c r="O115" s="4" t="str">
        <f>IF(Table1[[#This Row],[AAPL.Close]] &gt; Table1[[#This Row],[AAPL.Open]], "Up", "Down")</f>
        <v>Up</v>
      </c>
      <c r="P115" s="2" t="s">
        <v>10</v>
      </c>
    </row>
    <row r="116" spans="1:16" x14ac:dyDescent="0.35">
      <c r="A116" s="3">
        <v>42446</v>
      </c>
      <c r="B116" s="2" t="str">
        <f>TEXT(Table1[[#This Row],[Date]],"mmm")</f>
        <v>Mar</v>
      </c>
      <c r="C116" s="1">
        <f>YEAR(Table1[[#This Row],[Date]])</f>
        <v>2016</v>
      </c>
      <c r="D116" s="5">
        <v>105.519997</v>
      </c>
      <c r="E116" s="5">
        <v>106.470001</v>
      </c>
      <c r="F116" s="5">
        <v>104.959999</v>
      </c>
      <c r="G116" s="5">
        <v>105.800003</v>
      </c>
      <c r="H116" s="1">
        <v>34420700</v>
      </c>
      <c r="I116">
        <v>103.609668</v>
      </c>
      <c r="J116">
        <v>93.653646109999997</v>
      </c>
      <c r="K116">
        <v>100.1636669</v>
      </c>
      <c r="L116">
        <v>106.6736878</v>
      </c>
      <c r="M116" s="5">
        <f>Table1[[#This Row],[AAPL.Close]] -Table1[[#This Row],[AAPL.Open]]</f>
        <v>0.2800060000000002</v>
      </c>
      <c r="N116" s="4">
        <f>(Table1[[#This Row],[AAPL.Close]] - Table1[[#This Row],[AAPL.Open]]) /Table1[[#This Row],[AAPL.Open]]</f>
        <v>2.6535823347303561E-3</v>
      </c>
      <c r="O116" s="4" t="str">
        <f>IF(Table1[[#This Row],[AAPL.Close]] &gt; Table1[[#This Row],[AAPL.Open]], "Up", "Down")</f>
        <v>Up</v>
      </c>
      <c r="P116" s="2" t="s">
        <v>10</v>
      </c>
    </row>
    <row r="117" spans="1:16" x14ac:dyDescent="0.35">
      <c r="A117" s="3">
        <v>42447</v>
      </c>
      <c r="B117" s="2" t="str">
        <f>TEXT(Table1[[#This Row],[Date]],"mmm")</f>
        <v>Mar</v>
      </c>
      <c r="C117" s="1">
        <f>YEAR(Table1[[#This Row],[Date]])</f>
        <v>2016</v>
      </c>
      <c r="D117" s="5">
        <v>106.339996</v>
      </c>
      <c r="E117" s="5">
        <v>106.5</v>
      </c>
      <c r="F117" s="5">
        <v>105.19000200000001</v>
      </c>
      <c r="G117" s="5">
        <v>105.91999800000001</v>
      </c>
      <c r="H117" s="1">
        <v>44205200</v>
      </c>
      <c r="I117">
        <v>103.72717900000001</v>
      </c>
      <c r="J117">
        <v>93.952721229999995</v>
      </c>
      <c r="K117">
        <v>100.64716679999999</v>
      </c>
      <c r="L117">
        <v>107.3416124</v>
      </c>
      <c r="M117" s="5">
        <f>Table1[[#This Row],[AAPL.Close]] -Table1[[#This Row],[AAPL.Open]]</f>
        <v>-0.41999799999999254</v>
      </c>
      <c r="N117" s="4">
        <f>(Table1[[#This Row],[AAPL.Close]] - Table1[[#This Row],[AAPL.Open]]) /Table1[[#This Row],[AAPL.Open]]</f>
        <v>-3.9495769776029758E-3</v>
      </c>
      <c r="O117" s="4" t="str">
        <f>IF(Table1[[#This Row],[AAPL.Close]] &gt; Table1[[#This Row],[AAPL.Open]], "Up", "Down")</f>
        <v>Down</v>
      </c>
      <c r="P117" s="2" t="s">
        <v>11</v>
      </c>
    </row>
    <row r="118" spans="1:16" x14ac:dyDescent="0.35">
      <c r="A118" s="3">
        <v>42450</v>
      </c>
      <c r="B118" s="2" t="str">
        <f>TEXT(Table1[[#This Row],[Date]],"mmm")</f>
        <v>Mar</v>
      </c>
      <c r="C118" s="1">
        <f>YEAR(Table1[[#This Row],[Date]])</f>
        <v>2016</v>
      </c>
      <c r="D118" s="5">
        <v>105.93</v>
      </c>
      <c r="E118" s="5">
        <v>107.650002</v>
      </c>
      <c r="F118" s="5">
        <v>105.139999</v>
      </c>
      <c r="G118" s="5">
        <v>105.910004</v>
      </c>
      <c r="H118" s="1">
        <v>35502700</v>
      </c>
      <c r="I118">
        <v>103.71739100000001</v>
      </c>
      <c r="J118">
        <v>94.29002414</v>
      </c>
      <c r="K118">
        <v>101.13050029999999</v>
      </c>
      <c r="L118">
        <v>107.97097650000001</v>
      </c>
      <c r="M118" s="5">
        <f>Table1[[#This Row],[AAPL.Close]] -Table1[[#This Row],[AAPL.Open]]</f>
        <v>-1.999600000000612E-2</v>
      </c>
      <c r="N118" s="4">
        <f>(Table1[[#This Row],[AAPL.Close]] - Table1[[#This Row],[AAPL.Open]]) /Table1[[#This Row],[AAPL.Open]]</f>
        <v>-1.8876616633631756E-4</v>
      </c>
      <c r="O118" s="4" t="str">
        <f>IF(Table1[[#This Row],[AAPL.Close]] &gt; Table1[[#This Row],[AAPL.Open]], "Up", "Down")</f>
        <v>Down</v>
      </c>
      <c r="P118" s="2" t="s">
        <v>11</v>
      </c>
    </row>
    <row r="119" spans="1:16" x14ac:dyDescent="0.35">
      <c r="A119" s="3">
        <v>42451</v>
      </c>
      <c r="B119" s="2" t="str">
        <f>TEXT(Table1[[#This Row],[Date]],"mmm")</f>
        <v>Mar</v>
      </c>
      <c r="C119" s="1">
        <f>YEAR(Table1[[#This Row],[Date]])</f>
        <v>2016</v>
      </c>
      <c r="D119" s="5">
        <v>105.25</v>
      </c>
      <c r="E119" s="5">
        <v>107.290001</v>
      </c>
      <c r="F119" s="5">
        <v>105.209999</v>
      </c>
      <c r="G119" s="5">
        <v>106.720001</v>
      </c>
      <c r="H119" s="1">
        <v>32444400</v>
      </c>
      <c r="I119">
        <v>104.51062</v>
      </c>
      <c r="J119">
        <v>95.040917989999997</v>
      </c>
      <c r="K119">
        <v>101.68850019999999</v>
      </c>
      <c r="L119">
        <v>108.3360825</v>
      </c>
      <c r="M119" s="5">
        <f>Table1[[#This Row],[AAPL.Close]] -Table1[[#This Row],[AAPL.Open]]</f>
        <v>1.4700009999999963</v>
      </c>
      <c r="N119" s="4">
        <f>(Table1[[#This Row],[AAPL.Close]] - Table1[[#This Row],[AAPL.Open]]) /Table1[[#This Row],[AAPL.Open]]</f>
        <v>1.3966755344418018E-2</v>
      </c>
      <c r="O119" s="4" t="str">
        <f>IF(Table1[[#This Row],[AAPL.Close]] &gt; Table1[[#This Row],[AAPL.Open]], "Up", "Down")</f>
        <v>Up</v>
      </c>
      <c r="P119" s="2" t="s">
        <v>10</v>
      </c>
    </row>
    <row r="120" spans="1:16" x14ac:dyDescent="0.35">
      <c r="A120" s="3">
        <v>42452</v>
      </c>
      <c r="B120" s="2" t="str">
        <f>TEXT(Table1[[#This Row],[Date]],"mmm")</f>
        <v>Mar</v>
      </c>
      <c r="C120" s="1">
        <f>YEAR(Table1[[#This Row],[Date]])</f>
        <v>2016</v>
      </c>
      <c r="D120" s="5">
        <v>106.480003</v>
      </c>
      <c r="E120" s="5">
        <v>107.07</v>
      </c>
      <c r="F120" s="5">
        <v>105.900002</v>
      </c>
      <c r="G120" s="5">
        <v>106.129997</v>
      </c>
      <c r="H120" s="1">
        <v>25703500</v>
      </c>
      <c r="I120">
        <v>103.93283</v>
      </c>
      <c r="J120">
        <v>95.991516340000004</v>
      </c>
      <c r="K120">
        <v>102.24350029999999</v>
      </c>
      <c r="L120">
        <v>108.4954843</v>
      </c>
      <c r="M120" s="5">
        <f>Table1[[#This Row],[AAPL.Close]] -Table1[[#This Row],[AAPL.Open]]</f>
        <v>-0.35000599999999338</v>
      </c>
      <c r="N120" s="4">
        <f>(Table1[[#This Row],[AAPL.Close]] - Table1[[#This Row],[AAPL.Open]]) /Table1[[#This Row],[AAPL.Open]]</f>
        <v>-3.2870585099438192E-3</v>
      </c>
      <c r="O120" s="4" t="str">
        <f>IF(Table1[[#This Row],[AAPL.Close]] &gt; Table1[[#This Row],[AAPL.Open]], "Up", "Down")</f>
        <v>Down</v>
      </c>
      <c r="P120" s="2" t="s">
        <v>11</v>
      </c>
    </row>
    <row r="121" spans="1:16" x14ac:dyDescent="0.35">
      <c r="A121" s="3">
        <v>42453</v>
      </c>
      <c r="B121" s="2" t="str">
        <f>TEXT(Table1[[#This Row],[Date]],"mmm")</f>
        <v>Mar</v>
      </c>
      <c r="C121" s="1">
        <f>YEAR(Table1[[#This Row],[Date]])</f>
        <v>2016</v>
      </c>
      <c r="D121" s="5">
        <v>105.470001</v>
      </c>
      <c r="E121" s="5">
        <v>106.25</v>
      </c>
      <c r="F121" s="5">
        <v>104.889999</v>
      </c>
      <c r="G121" s="5">
        <v>105.66999800000001</v>
      </c>
      <c r="H121" s="1">
        <v>26133000</v>
      </c>
      <c r="I121">
        <v>103.482354</v>
      </c>
      <c r="J121">
        <v>96.939961479999994</v>
      </c>
      <c r="K121">
        <v>102.71083350000001</v>
      </c>
      <c r="L121">
        <v>108.4817056</v>
      </c>
      <c r="M121" s="5">
        <f>Table1[[#This Row],[AAPL.Close]] -Table1[[#This Row],[AAPL.Open]]</f>
        <v>0.19999700000001042</v>
      </c>
      <c r="N121" s="4">
        <f>(Table1[[#This Row],[AAPL.Close]] - Table1[[#This Row],[AAPL.Open]]) /Table1[[#This Row],[AAPL.Open]]</f>
        <v>1.8962453598536557E-3</v>
      </c>
      <c r="O121" s="4" t="str">
        <f>IF(Table1[[#This Row],[AAPL.Close]] &gt; Table1[[#This Row],[AAPL.Open]], "Up", "Down")</f>
        <v>Up</v>
      </c>
      <c r="P121" s="2" t="s">
        <v>10</v>
      </c>
    </row>
    <row r="122" spans="1:16" x14ac:dyDescent="0.35">
      <c r="A122" s="3">
        <v>42457</v>
      </c>
      <c r="B122" s="2" t="str">
        <f>TEXT(Table1[[#This Row],[Date]],"mmm")</f>
        <v>Mar</v>
      </c>
      <c r="C122" s="1">
        <f>YEAR(Table1[[#This Row],[Date]])</f>
        <v>2016</v>
      </c>
      <c r="D122" s="5">
        <v>106</v>
      </c>
      <c r="E122" s="5">
        <v>106.19000200000001</v>
      </c>
      <c r="F122" s="5">
        <v>105.05999799999999</v>
      </c>
      <c r="G122" s="5">
        <v>105.19000200000001</v>
      </c>
      <c r="H122" s="1">
        <v>19411400</v>
      </c>
      <c r="I122">
        <v>103.01229600000001</v>
      </c>
      <c r="J122">
        <v>97.834273830000001</v>
      </c>
      <c r="K122">
        <v>103.1263335</v>
      </c>
      <c r="L122">
        <v>108.4183932</v>
      </c>
      <c r="M122" s="5">
        <f>Table1[[#This Row],[AAPL.Close]] -Table1[[#This Row],[AAPL.Open]]</f>
        <v>-0.80999799999999311</v>
      </c>
      <c r="N122" s="4">
        <f>(Table1[[#This Row],[AAPL.Close]] - Table1[[#This Row],[AAPL.Open]]) /Table1[[#This Row],[AAPL.Open]]</f>
        <v>-7.6414905660376706E-3</v>
      </c>
      <c r="O122" s="4" t="str">
        <f>IF(Table1[[#This Row],[AAPL.Close]] &gt; Table1[[#This Row],[AAPL.Open]], "Up", "Down")</f>
        <v>Down</v>
      </c>
      <c r="P122" s="2" t="s">
        <v>11</v>
      </c>
    </row>
    <row r="123" spans="1:16" x14ac:dyDescent="0.35">
      <c r="A123" s="3">
        <v>42458</v>
      </c>
      <c r="B123" s="2" t="str">
        <f>TEXT(Table1[[#This Row],[Date]],"mmm")</f>
        <v>Mar</v>
      </c>
      <c r="C123" s="1">
        <f>YEAR(Table1[[#This Row],[Date]])</f>
        <v>2016</v>
      </c>
      <c r="D123" s="5">
        <v>104.889999</v>
      </c>
      <c r="E123" s="5">
        <v>107.790001</v>
      </c>
      <c r="F123" s="5">
        <v>104.879997</v>
      </c>
      <c r="G123" s="5">
        <v>107.68</v>
      </c>
      <c r="H123" s="1">
        <v>31190100</v>
      </c>
      <c r="I123">
        <v>105.450744</v>
      </c>
      <c r="J123">
        <v>98.840257820000005</v>
      </c>
      <c r="K123">
        <v>103.60599999999999</v>
      </c>
      <c r="L123">
        <v>108.3717422</v>
      </c>
      <c r="M123" s="5">
        <f>Table1[[#This Row],[AAPL.Close]] -Table1[[#This Row],[AAPL.Open]]</f>
        <v>2.7900010000000037</v>
      </c>
      <c r="N123" s="4">
        <f>(Table1[[#This Row],[AAPL.Close]] - Table1[[#This Row],[AAPL.Open]]) /Table1[[#This Row],[AAPL.Open]]</f>
        <v>2.6599304286388674E-2</v>
      </c>
      <c r="O123" s="4" t="str">
        <f>IF(Table1[[#This Row],[AAPL.Close]] &gt; Table1[[#This Row],[AAPL.Open]], "Up", "Down")</f>
        <v>Up</v>
      </c>
      <c r="P123" s="2" t="s">
        <v>10</v>
      </c>
    </row>
    <row r="124" spans="1:16" x14ac:dyDescent="0.35">
      <c r="A124" s="3">
        <v>42459</v>
      </c>
      <c r="B124" s="2" t="str">
        <f>TEXT(Table1[[#This Row],[Date]],"mmm")</f>
        <v>Mar</v>
      </c>
      <c r="C124" s="1">
        <f>YEAR(Table1[[#This Row],[Date]])</f>
        <v>2016</v>
      </c>
      <c r="D124" s="5">
        <v>108.650002</v>
      </c>
      <c r="E124" s="5">
        <v>110.41999800000001</v>
      </c>
      <c r="F124" s="5">
        <v>108.599998</v>
      </c>
      <c r="G124" s="5">
        <v>109.55999799999999</v>
      </c>
      <c r="H124" s="1">
        <v>45601100</v>
      </c>
      <c r="I124">
        <v>107.291821</v>
      </c>
      <c r="J124">
        <v>99.055896790000006</v>
      </c>
      <c r="K124">
        <v>104.10366670000001</v>
      </c>
      <c r="L124">
        <v>109.1514366</v>
      </c>
      <c r="M124" s="5">
        <f>Table1[[#This Row],[AAPL.Close]] -Table1[[#This Row],[AAPL.Open]]</f>
        <v>0.90999599999999248</v>
      </c>
      <c r="N124" s="4">
        <f>(Table1[[#This Row],[AAPL.Close]] - Table1[[#This Row],[AAPL.Open]]) /Table1[[#This Row],[AAPL.Open]]</f>
        <v>8.3754807478051627E-3</v>
      </c>
      <c r="O124" s="4" t="str">
        <f>IF(Table1[[#This Row],[AAPL.Close]] &gt; Table1[[#This Row],[AAPL.Open]], "Up", "Down")</f>
        <v>Up</v>
      </c>
      <c r="P124" s="2" t="s">
        <v>10</v>
      </c>
    </row>
    <row r="125" spans="1:16" x14ac:dyDescent="0.35">
      <c r="A125" s="3">
        <v>42460</v>
      </c>
      <c r="B125" s="2" t="str">
        <f>TEXT(Table1[[#This Row],[Date]],"mmm")</f>
        <v>Mar</v>
      </c>
      <c r="C125" s="1">
        <f>YEAR(Table1[[#This Row],[Date]])</f>
        <v>2016</v>
      </c>
      <c r="D125" s="5">
        <v>109.720001</v>
      </c>
      <c r="E125" s="5">
        <v>109.900002</v>
      </c>
      <c r="F125" s="5">
        <v>108.879997</v>
      </c>
      <c r="G125" s="5">
        <v>108.989998</v>
      </c>
      <c r="H125" s="1">
        <v>25888400</v>
      </c>
      <c r="I125">
        <v>106.733621</v>
      </c>
      <c r="J125">
        <v>99.319565760000003</v>
      </c>
      <c r="K125">
        <v>104.5451667</v>
      </c>
      <c r="L125">
        <v>109.7707676</v>
      </c>
      <c r="M125" s="5">
        <f>Table1[[#This Row],[AAPL.Close]] -Table1[[#This Row],[AAPL.Open]]</f>
        <v>-0.7300029999999964</v>
      </c>
      <c r="N125" s="4">
        <f>(Table1[[#This Row],[AAPL.Close]] - Table1[[#This Row],[AAPL.Open]]) /Table1[[#This Row],[AAPL.Open]]</f>
        <v>-6.6533265890144902E-3</v>
      </c>
      <c r="O125" s="4" t="str">
        <f>IF(Table1[[#This Row],[AAPL.Close]] &gt; Table1[[#This Row],[AAPL.Open]], "Up", "Down")</f>
        <v>Down</v>
      </c>
      <c r="P125" s="2" t="s">
        <v>11</v>
      </c>
    </row>
    <row r="126" spans="1:16" x14ac:dyDescent="0.35">
      <c r="A126" s="3">
        <v>42095</v>
      </c>
      <c r="B126" s="2" t="str">
        <f>TEXT(Table1[[#This Row],[Date]],"mmm")</f>
        <v>Apr</v>
      </c>
      <c r="C126" s="1">
        <f>YEAR(Table1[[#This Row],[Date]])</f>
        <v>2015</v>
      </c>
      <c r="D126" s="5">
        <v>124.82</v>
      </c>
      <c r="E126" s="5">
        <v>125.120003</v>
      </c>
      <c r="F126" s="5">
        <v>123.099998</v>
      </c>
      <c r="G126" s="5">
        <v>124.25</v>
      </c>
      <c r="H126" s="1">
        <v>40621400</v>
      </c>
      <c r="I126">
        <v>119.463174</v>
      </c>
      <c r="J126">
        <v>122.3761274</v>
      </c>
      <c r="K126">
        <v>125.60099990000001</v>
      </c>
      <c r="L126">
        <v>128.82587229999999</v>
      </c>
      <c r="M126" s="5">
        <f>Table1[[#This Row],[AAPL.Close]] -Table1[[#This Row],[AAPL.Open]]</f>
        <v>-0.56999999999999318</v>
      </c>
      <c r="N126" s="4">
        <f>(Table1[[#This Row],[AAPL.Close]] - Table1[[#This Row],[AAPL.Open]]) /Table1[[#This Row],[AAPL.Open]]</f>
        <v>-4.5665758692516678E-3</v>
      </c>
      <c r="O126" s="4" t="str">
        <f>IF(Table1[[#This Row],[AAPL.Close]] &gt; Table1[[#This Row],[AAPL.Open]], "Up", "Down")</f>
        <v>Down</v>
      </c>
      <c r="P126" s="2" t="s">
        <v>11</v>
      </c>
    </row>
    <row r="127" spans="1:16" x14ac:dyDescent="0.35">
      <c r="A127" s="3">
        <v>42096</v>
      </c>
      <c r="B127" s="2" t="str">
        <f>TEXT(Table1[[#This Row],[Date]],"mmm")</f>
        <v>Apr</v>
      </c>
      <c r="C127" s="1">
        <f>YEAR(Table1[[#This Row],[Date]])</f>
        <v>2015</v>
      </c>
      <c r="D127" s="5">
        <v>125.029999</v>
      </c>
      <c r="E127" s="5">
        <v>125.55999799999999</v>
      </c>
      <c r="F127" s="5">
        <v>124.19000200000001</v>
      </c>
      <c r="G127" s="5">
        <v>125.32</v>
      </c>
      <c r="H127" s="1">
        <v>32220100</v>
      </c>
      <c r="I127">
        <v>120.491951</v>
      </c>
      <c r="J127">
        <v>122.33303359999999</v>
      </c>
      <c r="K127">
        <v>125.5034998</v>
      </c>
      <c r="L127">
        <v>128.67396600000001</v>
      </c>
      <c r="M127" s="5">
        <f>Table1[[#This Row],[AAPL.Close]] -Table1[[#This Row],[AAPL.Open]]</f>
        <v>0.29000099999998952</v>
      </c>
      <c r="N127" s="4">
        <f>(Table1[[#This Row],[AAPL.Close]] - Table1[[#This Row],[AAPL.Open]]) /Table1[[#This Row],[AAPL.Open]]</f>
        <v>2.3194513502314711E-3</v>
      </c>
      <c r="O127" s="4" t="str">
        <f>IF(Table1[[#This Row],[AAPL.Close]] &gt; Table1[[#This Row],[AAPL.Open]], "Up", "Down")</f>
        <v>Up</v>
      </c>
      <c r="P127" s="2" t="s">
        <v>10</v>
      </c>
    </row>
    <row r="128" spans="1:16" x14ac:dyDescent="0.35">
      <c r="A128" s="3">
        <v>42100</v>
      </c>
      <c r="B128" s="2" t="str">
        <f>TEXT(Table1[[#This Row],[Date]],"mmm")</f>
        <v>Apr</v>
      </c>
      <c r="C128" s="1">
        <f>YEAR(Table1[[#This Row],[Date]])</f>
        <v>2015</v>
      </c>
      <c r="D128" s="5">
        <v>124.470001</v>
      </c>
      <c r="E128" s="5">
        <v>127.510002</v>
      </c>
      <c r="F128" s="5">
        <v>124.33000199999999</v>
      </c>
      <c r="G128" s="5">
        <v>127.349998</v>
      </c>
      <c r="H128" s="1">
        <v>37194000</v>
      </c>
      <c r="I128">
        <v>122.443743</v>
      </c>
      <c r="J128">
        <v>122.374816</v>
      </c>
      <c r="K128">
        <v>125.4528332</v>
      </c>
      <c r="L128">
        <v>128.53085050000001</v>
      </c>
      <c r="M128" s="5">
        <f>Table1[[#This Row],[AAPL.Close]] -Table1[[#This Row],[AAPL.Open]]</f>
        <v>2.879997000000003</v>
      </c>
      <c r="N128" s="4">
        <f>(Table1[[#This Row],[AAPL.Close]] - Table1[[#This Row],[AAPL.Open]]) /Table1[[#This Row],[AAPL.Open]]</f>
        <v>2.3138081279520543E-2</v>
      </c>
      <c r="O128" s="4" t="str">
        <f>IF(Table1[[#This Row],[AAPL.Close]] &gt; Table1[[#This Row],[AAPL.Open]], "Up", "Down")</f>
        <v>Up</v>
      </c>
      <c r="P128" s="2" t="s">
        <v>10</v>
      </c>
    </row>
    <row r="129" spans="1:16" x14ac:dyDescent="0.35">
      <c r="A129" s="3">
        <v>42101</v>
      </c>
      <c r="B129" s="2" t="str">
        <f>TEXT(Table1[[#This Row],[Date]],"mmm")</f>
        <v>Apr</v>
      </c>
      <c r="C129" s="1">
        <f>YEAR(Table1[[#This Row],[Date]])</f>
        <v>2015</v>
      </c>
      <c r="D129" s="5">
        <v>127.639999</v>
      </c>
      <c r="E129" s="5">
        <v>128.11999499999999</v>
      </c>
      <c r="F129" s="5">
        <v>125.980003</v>
      </c>
      <c r="G129" s="5">
        <v>126.010002</v>
      </c>
      <c r="H129" s="1">
        <v>35012300</v>
      </c>
      <c r="I129">
        <v>121.155371</v>
      </c>
      <c r="J129">
        <v>122.40306219999999</v>
      </c>
      <c r="K129">
        <v>125.4251665</v>
      </c>
      <c r="L129">
        <v>128.44727080000001</v>
      </c>
      <c r="M129" s="5">
        <f>Table1[[#This Row],[AAPL.Close]] -Table1[[#This Row],[AAPL.Open]]</f>
        <v>-1.629997000000003</v>
      </c>
      <c r="N129" s="4">
        <f>(Table1[[#This Row],[AAPL.Close]] - Table1[[#This Row],[AAPL.Open]]) /Table1[[#This Row],[AAPL.Open]]</f>
        <v>-1.277026804113343E-2</v>
      </c>
      <c r="O129" s="4" t="str">
        <f>IF(Table1[[#This Row],[AAPL.Close]] &gt; Table1[[#This Row],[AAPL.Open]], "Up", "Down")</f>
        <v>Down</v>
      </c>
      <c r="P129" s="2" t="s">
        <v>11</v>
      </c>
    </row>
    <row r="130" spans="1:16" x14ac:dyDescent="0.35">
      <c r="A130" s="3">
        <v>42102</v>
      </c>
      <c r="B130" s="2" t="str">
        <f>TEXT(Table1[[#This Row],[Date]],"mmm")</f>
        <v>Apr</v>
      </c>
      <c r="C130" s="1">
        <f>YEAR(Table1[[#This Row],[Date]])</f>
        <v>2015</v>
      </c>
      <c r="D130" s="5">
        <v>125.849998</v>
      </c>
      <c r="E130" s="5">
        <v>126.400002</v>
      </c>
      <c r="F130" s="5">
        <v>124.970001</v>
      </c>
      <c r="G130" s="5">
        <v>125.599998</v>
      </c>
      <c r="H130" s="1">
        <v>37329200</v>
      </c>
      <c r="I130">
        <v>120.761163</v>
      </c>
      <c r="J130">
        <v>122.42771329999999</v>
      </c>
      <c r="K130">
        <v>125.4491664</v>
      </c>
      <c r="L130">
        <v>128.4706195</v>
      </c>
      <c r="M130" s="5">
        <f>Table1[[#This Row],[AAPL.Close]] -Table1[[#This Row],[AAPL.Open]]</f>
        <v>-0.25</v>
      </c>
      <c r="N130" s="4">
        <f>(Table1[[#This Row],[AAPL.Close]] - Table1[[#This Row],[AAPL.Open]]) /Table1[[#This Row],[AAPL.Open]]</f>
        <v>-1.9864918869525925E-3</v>
      </c>
      <c r="O130" s="4" t="str">
        <f>IF(Table1[[#This Row],[AAPL.Close]] &gt; Table1[[#This Row],[AAPL.Open]], "Up", "Down")</f>
        <v>Down</v>
      </c>
      <c r="P130" s="2" t="s">
        <v>11</v>
      </c>
    </row>
    <row r="131" spans="1:16" x14ac:dyDescent="0.35">
      <c r="A131" s="3">
        <v>42103</v>
      </c>
      <c r="B131" s="2" t="str">
        <f>TEXT(Table1[[#This Row],[Date]],"mmm")</f>
        <v>Apr</v>
      </c>
      <c r="C131" s="1">
        <f>YEAR(Table1[[#This Row],[Date]])</f>
        <v>2015</v>
      </c>
      <c r="D131" s="5">
        <v>125.849998</v>
      </c>
      <c r="E131" s="5">
        <v>126.58000199999999</v>
      </c>
      <c r="F131" s="5">
        <v>124.660004</v>
      </c>
      <c r="G131" s="5">
        <v>126.55999799999999</v>
      </c>
      <c r="H131" s="1">
        <v>32484000</v>
      </c>
      <c r="I131">
        <v>121.68417700000001</v>
      </c>
      <c r="J131">
        <v>122.7775359</v>
      </c>
      <c r="K131">
        <v>125.59383320000001</v>
      </c>
      <c r="L131">
        <v>128.41013050000001</v>
      </c>
      <c r="M131" s="5">
        <f>Table1[[#This Row],[AAPL.Close]] -Table1[[#This Row],[AAPL.Open]]</f>
        <v>0.70999999999999375</v>
      </c>
      <c r="N131" s="4">
        <f>(Table1[[#This Row],[AAPL.Close]] - Table1[[#This Row],[AAPL.Open]]) /Table1[[#This Row],[AAPL.Open]]</f>
        <v>5.6416369589453131E-3</v>
      </c>
      <c r="O131" s="4" t="str">
        <f>IF(Table1[[#This Row],[AAPL.Close]] &gt; Table1[[#This Row],[AAPL.Open]], "Up", "Down")</f>
        <v>Up</v>
      </c>
      <c r="P131" s="2" t="s">
        <v>10</v>
      </c>
    </row>
    <row r="132" spans="1:16" x14ac:dyDescent="0.35">
      <c r="A132" s="3">
        <v>42104</v>
      </c>
      <c r="B132" s="2" t="str">
        <f>TEXT(Table1[[#This Row],[Date]],"mmm")</f>
        <v>Apr</v>
      </c>
      <c r="C132" s="1">
        <f>YEAR(Table1[[#This Row],[Date]])</f>
        <v>2015</v>
      </c>
      <c r="D132" s="5">
        <v>125.949997</v>
      </c>
      <c r="E132" s="5">
        <v>127.209999</v>
      </c>
      <c r="F132" s="5">
        <v>125.260002</v>
      </c>
      <c r="G132" s="5">
        <v>127.099998</v>
      </c>
      <c r="H132" s="1">
        <v>40188000</v>
      </c>
      <c r="I132">
        <v>122.203374</v>
      </c>
      <c r="J132">
        <v>123.0398914</v>
      </c>
      <c r="K132">
        <v>125.7369999</v>
      </c>
      <c r="L132">
        <v>128.43410850000001</v>
      </c>
      <c r="M132" s="5">
        <f>Table1[[#This Row],[AAPL.Close]] -Table1[[#This Row],[AAPL.Open]]</f>
        <v>1.1500010000000032</v>
      </c>
      <c r="N132" s="4">
        <f>(Table1[[#This Row],[AAPL.Close]] - Table1[[#This Row],[AAPL.Open]]) /Table1[[#This Row],[AAPL.Open]]</f>
        <v>9.1306155410230232E-3</v>
      </c>
      <c r="O132" s="4" t="str">
        <f>IF(Table1[[#This Row],[AAPL.Close]] &gt; Table1[[#This Row],[AAPL.Open]], "Up", "Down")</f>
        <v>Up</v>
      </c>
      <c r="P132" s="2" t="s">
        <v>10</v>
      </c>
    </row>
    <row r="133" spans="1:16" x14ac:dyDescent="0.35">
      <c r="A133" s="3">
        <v>42107</v>
      </c>
      <c r="B133" s="2" t="str">
        <f>TEXT(Table1[[#This Row],[Date]],"mmm")</f>
        <v>Apr</v>
      </c>
      <c r="C133" s="1">
        <f>YEAR(Table1[[#This Row],[Date]])</f>
        <v>2015</v>
      </c>
      <c r="D133" s="5">
        <v>128.36999499999999</v>
      </c>
      <c r="E133" s="5">
        <v>128.570007</v>
      </c>
      <c r="F133" s="5">
        <v>126.610001</v>
      </c>
      <c r="G133" s="5">
        <v>126.849998</v>
      </c>
      <c r="H133" s="1">
        <v>36365100</v>
      </c>
      <c r="I133">
        <v>121.96300599999999</v>
      </c>
      <c r="J133">
        <v>123.272819</v>
      </c>
      <c r="K133">
        <v>125.9113334</v>
      </c>
      <c r="L133">
        <v>128.54984769999999</v>
      </c>
      <c r="M133" s="5">
        <f>Table1[[#This Row],[AAPL.Close]] -Table1[[#This Row],[AAPL.Open]]</f>
        <v>-1.5199969999999894</v>
      </c>
      <c r="N133" s="4">
        <f>(Table1[[#This Row],[AAPL.Close]] - Table1[[#This Row],[AAPL.Open]]) /Table1[[#This Row],[AAPL.Open]]</f>
        <v>-1.1840749857472454E-2</v>
      </c>
      <c r="O133" s="4" t="str">
        <f>IF(Table1[[#This Row],[AAPL.Close]] &gt; Table1[[#This Row],[AAPL.Open]], "Up", "Down")</f>
        <v>Down</v>
      </c>
      <c r="P133" s="2" t="s">
        <v>11</v>
      </c>
    </row>
    <row r="134" spans="1:16" x14ac:dyDescent="0.35">
      <c r="A134" s="3">
        <v>42108</v>
      </c>
      <c r="B134" s="2" t="str">
        <f>TEXT(Table1[[#This Row],[Date]],"mmm")</f>
        <v>Apr</v>
      </c>
      <c r="C134" s="1">
        <f>YEAR(Table1[[#This Row],[Date]])</f>
        <v>2015</v>
      </c>
      <c r="D134" s="5">
        <v>127</v>
      </c>
      <c r="E134" s="5">
        <v>127.290001</v>
      </c>
      <c r="F134" s="5">
        <v>125.910004</v>
      </c>
      <c r="G134" s="5">
        <v>126.300003</v>
      </c>
      <c r="H134" s="1">
        <v>25524600</v>
      </c>
      <c r="I134">
        <v>121.43419900000001</v>
      </c>
      <c r="J134">
        <v>123.487134</v>
      </c>
      <c r="K134">
        <v>126.0235002</v>
      </c>
      <c r="L134">
        <v>128.5598665</v>
      </c>
      <c r="M134" s="5">
        <f>Table1[[#This Row],[AAPL.Close]] -Table1[[#This Row],[AAPL.Open]]</f>
        <v>-0.69999699999999621</v>
      </c>
      <c r="N134" s="4">
        <f>(Table1[[#This Row],[AAPL.Close]] - Table1[[#This Row],[AAPL.Open]]) /Table1[[#This Row],[AAPL.Open]]</f>
        <v>-5.5117874015747732E-3</v>
      </c>
      <c r="O134" s="4" t="str">
        <f>IF(Table1[[#This Row],[AAPL.Close]] &gt; Table1[[#This Row],[AAPL.Open]], "Up", "Down")</f>
        <v>Down</v>
      </c>
      <c r="P134" s="2" t="s">
        <v>11</v>
      </c>
    </row>
    <row r="135" spans="1:16" x14ac:dyDescent="0.35">
      <c r="A135" s="3">
        <v>42109</v>
      </c>
      <c r="B135" s="2" t="str">
        <f>TEXT(Table1[[#This Row],[Date]],"mmm")</f>
        <v>Apr</v>
      </c>
      <c r="C135" s="1">
        <f>YEAR(Table1[[#This Row],[Date]])</f>
        <v>2015</v>
      </c>
      <c r="D135" s="5">
        <v>126.410004</v>
      </c>
      <c r="E135" s="5">
        <v>127.129997</v>
      </c>
      <c r="F135" s="5">
        <v>126.010002</v>
      </c>
      <c r="G135" s="5">
        <v>126.779999</v>
      </c>
      <c r="H135" s="1">
        <v>28970400</v>
      </c>
      <c r="I135">
        <v>121.895703</v>
      </c>
      <c r="J135">
        <v>123.4871301</v>
      </c>
      <c r="K135">
        <v>126.0220001</v>
      </c>
      <c r="L135">
        <v>128.55687019999999</v>
      </c>
      <c r="M135" s="5">
        <f>Table1[[#This Row],[AAPL.Close]] -Table1[[#This Row],[AAPL.Open]]</f>
        <v>0.36999500000000296</v>
      </c>
      <c r="N135" s="4">
        <f>(Table1[[#This Row],[AAPL.Close]] - Table1[[#This Row],[AAPL.Open]]) /Table1[[#This Row],[AAPL.Open]]</f>
        <v>2.9269439782630097E-3</v>
      </c>
      <c r="O135" s="4" t="str">
        <f>IF(Table1[[#This Row],[AAPL.Close]] &gt; Table1[[#This Row],[AAPL.Open]], "Up", "Down")</f>
        <v>Up</v>
      </c>
      <c r="P135" s="2" t="s">
        <v>10</v>
      </c>
    </row>
    <row r="136" spans="1:16" x14ac:dyDescent="0.35">
      <c r="A136" s="3">
        <v>42110</v>
      </c>
      <c r="B136" s="2" t="str">
        <f>TEXT(Table1[[#This Row],[Date]],"mmm")</f>
        <v>Apr</v>
      </c>
      <c r="C136" s="1">
        <f>YEAR(Table1[[#This Row],[Date]])</f>
        <v>2015</v>
      </c>
      <c r="D136" s="5">
        <v>126.279999</v>
      </c>
      <c r="E136" s="5">
        <v>127.099998</v>
      </c>
      <c r="F136" s="5">
        <v>126.110001</v>
      </c>
      <c r="G136" s="5">
        <v>126.16999800000001</v>
      </c>
      <c r="H136" s="1">
        <v>28369000</v>
      </c>
      <c r="I136">
        <v>121.309203</v>
      </c>
      <c r="J136">
        <v>123.5664037</v>
      </c>
      <c r="K136">
        <v>125.94499999999999</v>
      </c>
      <c r="L136">
        <v>128.3235962</v>
      </c>
      <c r="M136" s="5">
        <f>Table1[[#This Row],[AAPL.Close]] -Table1[[#This Row],[AAPL.Open]]</f>
        <v>-0.11000099999999691</v>
      </c>
      <c r="N136" s="4">
        <f>(Table1[[#This Row],[AAPL.Close]] - Table1[[#This Row],[AAPL.Open]]) /Table1[[#This Row],[AAPL.Open]]</f>
        <v>-8.7108806518122403E-4</v>
      </c>
      <c r="O136" s="4" t="str">
        <f>IF(Table1[[#This Row],[AAPL.Close]] &gt; Table1[[#This Row],[AAPL.Open]], "Up", "Down")</f>
        <v>Down</v>
      </c>
      <c r="P136" s="2" t="s">
        <v>11</v>
      </c>
    </row>
    <row r="137" spans="1:16" x14ac:dyDescent="0.35">
      <c r="A137" s="3">
        <v>42111</v>
      </c>
      <c r="B137" s="2" t="str">
        <f>TEXT(Table1[[#This Row],[Date]],"mmm")</f>
        <v>Apr</v>
      </c>
      <c r="C137" s="1">
        <f>YEAR(Table1[[#This Row],[Date]])</f>
        <v>2015</v>
      </c>
      <c r="D137" s="5">
        <v>125.550003</v>
      </c>
      <c r="E137" s="5">
        <v>126.139999</v>
      </c>
      <c r="F137" s="5">
        <v>124.459999</v>
      </c>
      <c r="G137" s="5">
        <v>124.75</v>
      </c>
      <c r="H137" s="1">
        <v>51957000</v>
      </c>
      <c r="I137">
        <v>119.943911</v>
      </c>
      <c r="J137">
        <v>123.60226919999999</v>
      </c>
      <c r="K137">
        <v>125.7983332</v>
      </c>
      <c r="L137">
        <v>127.9943973</v>
      </c>
      <c r="M137" s="5">
        <f>Table1[[#This Row],[AAPL.Close]] -Table1[[#This Row],[AAPL.Open]]</f>
        <v>-0.80000300000000379</v>
      </c>
      <c r="N137" s="4">
        <f>(Table1[[#This Row],[AAPL.Close]] - Table1[[#This Row],[AAPL.Open]]) /Table1[[#This Row],[AAPL.Open]]</f>
        <v>-6.3719871038155516E-3</v>
      </c>
      <c r="O137" s="4" t="str">
        <f>IF(Table1[[#This Row],[AAPL.Close]] &gt; Table1[[#This Row],[AAPL.Open]], "Up", "Down")</f>
        <v>Down</v>
      </c>
      <c r="P137" s="2" t="s">
        <v>11</v>
      </c>
    </row>
    <row r="138" spans="1:16" x14ac:dyDescent="0.35">
      <c r="A138" s="3">
        <v>42114</v>
      </c>
      <c r="B138" s="2" t="str">
        <f>TEXT(Table1[[#This Row],[Date]],"mmm")</f>
        <v>Apr</v>
      </c>
      <c r="C138" s="1">
        <f>YEAR(Table1[[#This Row],[Date]])</f>
        <v>2015</v>
      </c>
      <c r="D138" s="5">
        <v>125.57</v>
      </c>
      <c r="E138" s="5">
        <v>128.11999499999999</v>
      </c>
      <c r="F138" s="5">
        <v>125.16999800000001</v>
      </c>
      <c r="G138" s="5">
        <v>127.599998</v>
      </c>
      <c r="H138" s="1">
        <v>47054300</v>
      </c>
      <c r="I138">
        <v>122.684112</v>
      </c>
      <c r="J138">
        <v>123.5867451</v>
      </c>
      <c r="K138">
        <v>125.8221664</v>
      </c>
      <c r="L138">
        <v>128.0575877</v>
      </c>
      <c r="M138" s="5">
        <f>Table1[[#This Row],[AAPL.Close]] -Table1[[#This Row],[AAPL.Open]]</f>
        <v>2.0299980000000062</v>
      </c>
      <c r="N138" s="4">
        <f>(Table1[[#This Row],[AAPL.Close]] - Table1[[#This Row],[AAPL.Open]]) /Table1[[#This Row],[AAPL.Open]]</f>
        <v>1.6166265827825169E-2</v>
      </c>
      <c r="O138" s="4" t="str">
        <f>IF(Table1[[#This Row],[AAPL.Close]] &gt; Table1[[#This Row],[AAPL.Open]], "Up", "Down")</f>
        <v>Up</v>
      </c>
      <c r="P138" s="2" t="s">
        <v>10</v>
      </c>
    </row>
    <row r="139" spans="1:16" x14ac:dyDescent="0.35">
      <c r="A139" s="3">
        <v>42115</v>
      </c>
      <c r="B139" s="2" t="str">
        <f>TEXT(Table1[[#This Row],[Date]],"mmm")</f>
        <v>Apr</v>
      </c>
      <c r="C139" s="1">
        <f>YEAR(Table1[[#This Row],[Date]])</f>
        <v>2015</v>
      </c>
      <c r="D139" s="5">
        <v>128.10000600000001</v>
      </c>
      <c r="E139" s="5">
        <v>128.199997</v>
      </c>
      <c r="F139" s="5">
        <v>126.66999800000001</v>
      </c>
      <c r="G139" s="5">
        <v>126.910004</v>
      </c>
      <c r="H139" s="1">
        <v>32435100</v>
      </c>
      <c r="I139">
        <v>122.02069899999999</v>
      </c>
      <c r="J139">
        <v>123.5817266</v>
      </c>
      <c r="K139">
        <v>125.8254998</v>
      </c>
      <c r="L139">
        <v>128.06927300000001</v>
      </c>
      <c r="M139" s="5">
        <f>Table1[[#This Row],[AAPL.Close]] -Table1[[#This Row],[AAPL.Open]]</f>
        <v>-1.1900020000000069</v>
      </c>
      <c r="N139" s="4">
        <f>(Table1[[#This Row],[AAPL.Close]] - Table1[[#This Row],[AAPL.Open]]) /Table1[[#This Row],[AAPL.Open]]</f>
        <v>-9.2896326640297486E-3</v>
      </c>
      <c r="O139" s="4" t="str">
        <f>IF(Table1[[#This Row],[AAPL.Close]] &gt; Table1[[#This Row],[AAPL.Open]], "Up", "Down")</f>
        <v>Down</v>
      </c>
      <c r="P139" s="2" t="s">
        <v>11</v>
      </c>
    </row>
    <row r="140" spans="1:16" x14ac:dyDescent="0.35">
      <c r="A140" s="3">
        <v>42116</v>
      </c>
      <c r="B140" s="2" t="str">
        <f>TEXT(Table1[[#This Row],[Date]],"mmm")</f>
        <v>Apr</v>
      </c>
      <c r="C140" s="1">
        <f>YEAR(Table1[[#This Row],[Date]])</f>
        <v>2015</v>
      </c>
      <c r="D140" s="5">
        <v>126.989998</v>
      </c>
      <c r="E140" s="5">
        <v>128.86999499999999</v>
      </c>
      <c r="F140" s="5">
        <v>126.32</v>
      </c>
      <c r="G140" s="5">
        <v>128.61999499999999</v>
      </c>
      <c r="H140" s="1">
        <v>37654500</v>
      </c>
      <c r="I140">
        <v>123.664812</v>
      </c>
      <c r="J140">
        <v>123.5019782</v>
      </c>
      <c r="K140">
        <v>125.8674998</v>
      </c>
      <c r="L140">
        <v>128.23302140000001</v>
      </c>
      <c r="M140" s="5">
        <f>Table1[[#This Row],[AAPL.Close]] -Table1[[#This Row],[AAPL.Open]]</f>
        <v>1.6299969999999888</v>
      </c>
      <c r="N140" s="4">
        <f>(Table1[[#This Row],[AAPL.Close]] - Table1[[#This Row],[AAPL.Open]]) /Table1[[#This Row],[AAPL.Open]]</f>
        <v>1.2835632929138158E-2</v>
      </c>
      <c r="O140" s="4" t="str">
        <f>IF(Table1[[#This Row],[AAPL.Close]] &gt; Table1[[#This Row],[AAPL.Open]], "Up", "Down")</f>
        <v>Up</v>
      </c>
      <c r="P140" s="2" t="s">
        <v>10</v>
      </c>
    </row>
    <row r="141" spans="1:16" x14ac:dyDescent="0.35">
      <c r="A141" s="3">
        <v>42117</v>
      </c>
      <c r="B141" s="2" t="str">
        <f>TEXT(Table1[[#This Row],[Date]],"mmm")</f>
        <v>Apr</v>
      </c>
      <c r="C141" s="1">
        <f>YEAR(Table1[[#This Row],[Date]])</f>
        <v>2015</v>
      </c>
      <c r="D141" s="5">
        <v>128.300003</v>
      </c>
      <c r="E141" s="5">
        <v>130.41999799999999</v>
      </c>
      <c r="F141" s="5">
        <v>128.13999899999999</v>
      </c>
      <c r="G141" s="5">
        <v>129.66999799999999</v>
      </c>
      <c r="H141" s="1">
        <v>45770900</v>
      </c>
      <c r="I141">
        <v>124.674363</v>
      </c>
      <c r="J141">
        <v>123.3716821</v>
      </c>
      <c r="K141">
        <v>126.1116665</v>
      </c>
      <c r="L141">
        <v>128.85165079999999</v>
      </c>
      <c r="M141" s="5">
        <f>Table1[[#This Row],[AAPL.Close]] -Table1[[#This Row],[AAPL.Open]]</f>
        <v>1.3699949999999887</v>
      </c>
      <c r="N141" s="4">
        <f>(Table1[[#This Row],[AAPL.Close]] - Table1[[#This Row],[AAPL.Open]]) /Table1[[#This Row],[AAPL.Open]]</f>
        <v>1.0678058986483333E-2</v>
      </c>
      <c r="O141" s="4" t="str">
        <f>IF(Table1[[#This Row],[AAPL.Close]] &gt; Table1[[#This Row],[AAPL.Open]], "Up", "Down")</f>
        <v>Up</v>
      </c>
      <c r="P141" s="2" t="s">
        <v>10</v>
      </c>
    </row>
    <row r="142" spans="1:16" x14ac:dyDescent="0.35">
      <c r="A142" s="3">
        <v>42118</v>
      </c>
      <c r="B142" s="2" t="str">
        <f>TEXT(Table1[[#This Row],[Date]],"mmm")</f>
        <v>Apr</v>
      </c>
      <c r="C142" s="1">
        <f>YEAR(Table1[[#This Row],[Date]])</f>
        <v>2015</v>
      </c>
      <c r="D142" s="5">
        <v>130.490005</v>
      </c>
      <c r="E142" s="5">
        <v>130.63000500000001</v>
      </c>
      <c r="F142" s="5">
        <v>129.229996</v>
      </c>
      <c r="G142" s="5">
        <v>130.279999</v>
      </c>
      <c r="H142" s="1">
        <v>44525900</v>
      </c>
      <c r="I142">
        <v>125.260863</v>
      </c>
      <c r="J142">
        <v>123.3764705</v>
      </c>
      <c r="K142">
        <v>126.41866659999999</v>
      </c>
      <c r="L142">
        <v>129.46086260000001</v>
      </c>
      <c r="M142" s="5">
        <f>Table1[[#This Row],[AAPL.Close]] -Table1[[#This Row],[AAPL.Open]]</f>
        <v>-0.21000599999999281</v>
      </c>
      <c r="N142" s="4">
        <f>(Table1[[#This Row],[AAPL.Close]] - Table1[[#This Row],[AAPL.Open]]) /Table1[[#This Row],[AAPL.Open]]</f>
        <v>-1.6093646406097756E-3</v>
      </c>
      <c r="O142" s="4" t="str">
        <f>IF(Table1[[#This Row],[AAPL.Close]] &gt; Table1[[#This Row],[AAPL.Open]], "Up", "Down")</f>
        <v>Down</v>
      </c>
      <c r="P142" s="2" t="s">
        <v>11</v>
      </c>
    </row>
    <row r="143" spans="1:16" x14ac:dyDescent="0.35">
      <c r="A143" s="3">
        <v>42121</v>
      </c>
      <c r="B143" s="2" t="str">
        <f>TEXT(Table1[[#This Row],[Date]],"mmm")</f>
        <v>Apr</v>
      </c>
      <c r="C143" s="1">
        <f>YEAR(Table1[[#This Row],[Date]])</f>
        <v>2015</v>
      </c>
      <c r="D143" s="5">
        <v>132.30999800000001</v>
      </c>
      <c r="E143" s="5">
        <v>133.13000500000001</v>
      </c>
      <c r="F143" s="5">
        <v>131.14999399999999</v>
      </c>
      <c r="G143" s="5">
        <v>132.64999399999999</v>
      </c>
      <c r="H143" s="1">
        <v>96954200</v>
      </c>
      <c r="I143">
        <v>127.539552</v>
      </c>
      <c r="J143">
        <v>123.128271</v>
      </c>
      <c r="K143">
        <v>126.85316640000001</v>
      </c>
      <c r="L143">
        <v>130.57806189999999</v>
      </c>
      <c r="M143" s="5">
        <f>Table1[[#This Row],[AAPL.Close]] -Table1[[#This Row],[AAPL.Open]]</f>
        <v>0.33999599999998509</v>
      </c>
      <c r="N143" s="4">
        <f>(Table1[[#This Row],[AAPL.Close]] - Table1[[#This Row],[AAPL.Open]]) /Table1[[#This Row],[AAPL.Open]]</f>
        <v>2.5696924279296346E-3</v>
      </c>
      <c r="O143" s="4" t="str">
        <f>IF(Table1[[#This Row],[AAPL.Close]] &gt; Table1[[#This Row],[AAPL.Open]], "Up", "Down")</f>
        <v>Up</v>
      </c>
      <c r="P143" s="2" t="s">
        <v>10</v>
      </c>
    </row>
    <row r="144" spans="1:16" x14ac:dyDescent="0.35">
      <c r="A144" s="3">
        <v>42122</v>
      </c>
      <c r="B144" s="2" t="str">
        <f>TEXT(Table1[[#This Row],[Date]],"mmm")</f>
        <v>Apr</v>
      </c>
      <c r="C144" s="1">
        <f>YEAR(Table1[[#This Row],[Date]])</f>
        <v>2015</v>
      </c>
      <c r="D144" s="5">
        <v>134.46000699999999</v>
      </c>
      <c r="E144" s="5">
        <v>134.53999300000001</v>
      </c>
      <c r="F144" s="5">
        <v>129.570007</v>
      </c>
      <c r="G144" s="5">
        <v>130.55999800000001</v>
      </c>
      <c r="H144" s="1">
        <v>118924000</v>
      </c>
      <c r="I144">
        <v>125.530074</v>
      </c>
      <c r="J144">
        <v>122.9533691</v>
      </c>
      <c r="K144">
        <v>127.1514997</v>
      </c>
      <c r="L144">
        <v>131.34963020000001</v>
      </c>
      <c r="M144" s="5">
        <f>Table1[[#This Row],[AAPL.Close]] -Table1[[#This Row],[AAPL.Open]]</f>
        <v>-3.900008999999983</v>
      </c>
      <c r="N144" s="4">
        <f>(Table1[[#This Row],[AAPL.Close]] - Table1[[#This Row],[AAPL.Open]]) /Table1[[#This Row],[AAPL.Open]]</f>
        <v>-2.9004973947383352E-2</v>
      </c>
      <c r="O144" s="4" t="str">
        <f>IF(Table1[[#This Row],[AAPL.Close]] &gt; Table1[[#This Row],[AAPL.Open]], "Up", "Down")</f>
        <v>Down</v>
      </c>
      <c r="P144" s="2" t="s">
        <v>11</v>
      </c>
    </row>
    <row r="145" spans="1:16" x14ac:dyDescent="0.35">
      <c r="A145" s="3">
        <v>42123</v>
      </c>
      <c r="B145" s="2" t="str">
        <f>TEXT(Table1[[#This Row],[Date]],"mmm")</f>
        <v>Apr</v>
      </c>
      <c r="C145" s="1">
        <f>YEAR(Table1[[#This Row],[Date]])</f>
        <v>2015</v>
      </c>
      <c r="D145" s="5">
        <v>130.16000399999999</v>
      </c>
      <c r="E145" s="5">
        <v>131.58999600000001</v>
      </c>
      <c r="F145" s="5">
        <v>128.300003</v>
      </c>
      <c r="G145" s="5">
        <v>128.63999899999999</v>
      </c>
      <c r="H145" s="1">
        <v>63386100</v>
      </c>
      <c r="I145">
        <v>123.684046</v>
      </c>
      <c r="J145">
        <v>123.165847</v>
      </c>
      <c r="K145">
        <v>127.372333</v>
      </c>
      <c r="L145">
        <v>131.57881900000001</v>
      </c>
      <c r="M145" s="5">
        <f>Table1[[#This Row],[AAPL.Close]] -Table1[[#This Row],[AAPL.Open]]</f>
        <v>-1.5200049999999976</v>
      </c>
      <c r="N145" s="4">
        <f>(Table1[[#This Row],[AAPL.Close]] - Table1[[#This Row],[AAPL.Open]]) /Table1[[#This Row],[AAPL.Open]]</f>
        <v>-1.1677972904794914E-2</v>
      </c>
      <c r="O145" s="4" t="str">
        <f>IF(Table1[[#This Row],[AAPL.Close]] &gt; Table1[[#This Row],[AAPL.Open]], "Up", "Down")</f>
        <v>Down</v>
      </c>
      <c r="P145" s="2" t="s">
        <v>11</v>
      </c>
    </row>
    <row r="146" spans="1:16" x14ac:dyDescent="0.35">
      <c r="A146" s="3">
        <v>42124</v>
      </c>
      <c r="B146" s="2" t="str">
        <f>TEXT(Table1[[#This Row],[Date]],"mmm")</f>
        <v>Apr</v>
      </c>
      <c r="C146" s="1">
        <f>YEAR(Table1[[#This Row],[Date]])</f>
        <v>2015</v>
      </c>
      <c r="D146" s="5">
        <v>128.63999899999999</v>
      </c>
      <c r="E146" s="5">
        <v>128.63999899999999</v>
      </c>
      <c r="F146" s="5">
        <v>124.58000199999999</v>
      </c>
      <c r="G146" s="5">
        <v>125.150002</v>
      </c>
      <c r="H146" s="1">
        <v>83195400</v>
      </c>
      <c r="I146">
        <v>120.328503</v>
      </c>
      <c r="J146">
        <v>123.4832179</v>
      </c>
      <c r="K146">
        <v>127.4706663</v>
      </c>
      <c r="L146">
        <v>131.45811470000001</v>
      </c>
      <c r="M146" s="5">
        <f>Table1[[#This Row],[AAPL.Close]] -Table1[[#This Row],[AAPL.Open]]</f>
        <v>-3.4899969999999882</v>
      </c>
      <c r="N146" s="4">
        <f>(Table1[[#This Row],[AAPL.Close]] - Table1[[#This Row],[AAPL.Open]]) /Table1[[#This Row],[AAPL.Open]]</f>
        <v>-2.7129952014380756E-2</v>
      </c>
      <c r="O146" s="4" t="str">
        <f>IF(Table1[[#This Row],[AAPL.Close]] &gt; Table1[[#This Row],[AAPL.Open]], "Up", "Down")</f>
        <v>Down</v>
      </c>
      <c r="P146" s="2" t="s">
        <v>11</v>
      </c>
    </row>
    <row r="147" spans="1:16" x14ac:dyDescent="0.35">
      <c r="A147" s="3">
        <v>42461</v>
      </c>
      <c r="B147" s="2" t="str">
        <f>TEXT(Table1[[#This Row],[Date]],"mmm")</f>
        <v>Apr</v>
      </c>
      <c r="C147" s="1">
        <f>YEAR(Table1[[#This Row],[Date]])</f>
        <v>2016</v>
      </c>
      <c r="D147" s="5">
        <v>108.779999</v>
      </c>
      <c r="E147" s="5">
        <v>110</v>
      </c>
      <c r="F147" s="5">
        <v>108.199997</v>
      </c>
      <c r="G147" s="5">
        <v>109.989998</v>
      </c>
      <c r="H147" s="1">
        <v>25874000</v>
      </c>
      <c r="I147">
        <v>107.712919</v>
      </c>
      <c r="J147">
        <v>99.556372280000005</v>
      </c>
      <c r="K147">
        <v>104.95399999999999</v>
      </c>
      <c r="L147">
        <v>110.35162769999999</v>
      </c>
      <c r="M147" s="5">
        <f>Table1[[#This Row],[AAPL.Close]] -Table1[[#This Row],[AAPL.Open]]</f>
        <v>1.2099989999999963</v>
      </c>
      <c r="N147" s="4">
        <f>(Table1[[#This Row],[AAPL.Close]] - Table1[[#This Row],[AAPL.Open]]) /Table1[[#This Row],[AAPL.Open]]</f>
        <v>1.1123359175614593E-2</v>
      </c>
      <c r="O147" s="4" t="str">
        <f>IF(Table1[[#This Row],[AAPL.Close]] &gt; Table1[[#This Row],[AAPL.Open]], "Up", "Down")</f>
        <v>Up</v>
      </c>
      <c r="P147" s="2" t="s">
        <v>10</v>
      </c>
    </row>
    <row r="148" spans="1:16" x14ac:dyDescent="0.35">
      <c r="A148" s="3">
        <v>42464</v>
      </c>
      <c r="B148" s="2" t="str">
        <f>TEXT(Table1[[#This Row],[Date]],"mmm")</f>
        <v>Apr</v>
      </c>
      <c r="C148" s="1">
        <f>YEAR(Table1[[#This Row],[Date]])</f>
        <v>2016</v>
      </c>
      <c r="D148" s="5">
        <v>110.41999800000001</v>
      </c>
      <c r="E148" s="5">
        <v>112.19000200000001</v>
      </c>
      <c r="F148" s="5">
        <v>110.269997</v>
      </c>
      <c r="G148" s="5">
        <v>111.120003</v>
      </c>
      <c r="H148" s="1">
        <v>37356200</v>
      </c>
      <c r="I148">
        <v>108.81953</v>
      </c>
      <c r="J148">
        <v>99.445758350000006</v>
      </c>
      <c r="K148">
        <v>105.3781666</v>
      </c>
      <c r="L148">
        <v>111.31057490000001</v>
      </c>
      <c r="M148" s="5">
        <f>Table1[[#This Row],[AAPL.Close]] -Table1[[#This Row],[AAPL.Open]]</f>
        <v>0.70000499999999022</v>
      </c>
      <c r="N148" s="4">
        <f>(Table1[[#This Row],[AAPL.Close]] - Table1[[#This Row],[AAPL.Open]]) /Table1[[#This Row],[AAPL.Open]]</f>
        <v>6.3394766589290304E-3</v>
      </c>
      <c r="O148" s="4" t="str">
        <f>IF(Table1[[#This Row],[AAPL.Close]] &gt; Table1[[#This Row],[AAPL.Open]], "Up", "Down")</f>
        <v>Up</v>
      </c>
      <c r="P148" s="2" t="s">
        <v>10</v>
      </c>
    </row>
    <row r="149" spans="1:16" x14ac:dyDescent="0.35">
      <c r="A149" s="3">
        <v>42465</v>
      </c>
      <c r="B149" s="2" t="str">
        <f>TEXT(Table1[[#This Row],[Date]],"mmm")</f>
        <v>Apr</v>
      </c>
      <c r="C149" s="1">
        <f>YEAR(Table1[[#This Row],[Date]])</f>
        <v>2016</v>
      </c>
      <c r="D149" s="5">
        <v>109.510002</v>
      </c>
      <c r="E149" s="5">
        <v>110.730003</v>
      </c>
      <c r="F149" s="5">
        <v>109.41999800000001</v>
      </c>
      <c r="G149" s="5">
        <v>109.80999799999999</v>
      </c>
      <c r="H149" s="1">
        <v>26578700</v>
      </c>
      <c r="I149">
        <v>107.53664499999999</v>
      </c>
      <c r="J149">
        <v>99.754326710000001</v>
      </c>
      <c r="K149">
        <v>105.78316649999999</v>
      </c>
      <c r="L149">
        <v>111.81200629999999</v>
      </c>
      <c r="M149" s="5">
        <f>Table1[[#This Row],[AAPL.Close]] -Table1[[#This Row],[AAPL.Open]]</f>
        <v>0.29999599999999305</v>
      </c>
      <c r="N149" s="4">
        <f>(Table1[[#This Row],[AAPL.Close]] - Table1[[#This Row],[AAPL.Open]]) /Table1[[#This Row],[AAPL.Open]]</f>
        <v>2.739439270579075E-3</v>
      </c>
      <c r="O149" s="4" t="str">
        <f>IF(Table1[[#This Row],[AAPL.Close]] &gt; Table1[[#This Row],[AAPL.Open]], "Up", "Down")</f>
        <v>Up</v>
      </c>
      <c r="P149" s="2" t="s">
        <v>10</v>
      </c>
    </row>
    <row r="150" spans="1:16" x14ac:dyDescent="0.35">
      <c r="A150" s="3">
        <v>42466</v>
      </c>
      <c r="B150" s="2" t="str">
        <f>TEXT(Table1[[#This Row],[Date]],"mmm")</f>
        <v>Apr</v>
      </c>
      <c r="C150" s="1">
        <f>YEAR(Table1[[#This Row],[Date]])</f>
        <v>2016</v>
      </c>
      <c r="D150" s="5">
        <v>110.230003</v>
      </c>
      <c r="E150" s="5">
        <v>110.980003</v>
      </c>
      <c r="F150" s="5">
        <v>109.199997</v>
      </c>
      <c r="G150" s="5">
        <v>110.959999</v>
      </c>
      <c r="H150" s="1">
        <v>26404100</v>
      </c>
      <c r="I150">
        <v>108.66283900000001</v>
      </c>
      <c r="J150">
        <v>100.31185240000001</v>
      </c>
      <c r="K150">
        <v>106.24899980000001</v>
      </c>
      <c r="L150">
        <v>112.1861471</v>
      </c>
      <c r="M150" s="5">
        <f>Table1[[#This Row],[AAPL.Close]] -Table1[[#This Row],[AAPL.Open]]</f>
        <v>0.72999599999999987</v>
      </c>
      <c r="N150" s="4">
        <f>(Table1[[#This Row],[AAPL.Close]] - Table1[[#This Row],[AAPL.Open]]) /Table1[[#This Row],[AAPL.Open]]</f>
        <v>6.6224800882932018E-3</v>
      </c>
      <c r="O150" s="4" t="str">
        <f>IF(Table1[[#This Row],[AAPL.Close]] &gt; Table1[[#This Row],[AAPL.Open]], "Up", "Down")</f>
        <v>Up</v>
      </c>
      <c r="P150" s="2" t="s">
        <v>10</v>
      </c>
    </row>
    <row r="151" spans="1:16" x14ac:dyDescent="0.35">
      <c r="A151" s="3">
        <v>42467</v>
      </c>
      <c r="B151" s="2" t="str">
        <f>TEXT(Table1[[#This Row],[Date]],"mmm")</f>
        <v>Apr</v>
      </c>
      <c r="C151" s="1">
        <f>YEAR(Table1[[#This Row],[Date]])</f>
        <v>2016</v>
      </c>
      <c r="D151" s="5">
        <v>109.949997</v>
      </c>
      <c r="E151" s="5">
        <v>110.41999800000001</v>
      </c>
      <c r="F151" s="5">
        <v>108.120003</v>
      </c>
      <c r="G151" s="5">
        <v>108.540001</v>
      </c>
      <c r="H151" s="1">
        <v>31801900</v>
      </c>
      <c r="I151">
        <v>106.292941</v>
      </c>
      <c r="J151">
        <v>101.1177046</v>
      </c>
      <c r="K151">
        <v>106.6508331</v>
      </c>
      <c r="L151">
        <v>112.1839617</v>
      </c>
      <c r="M151" s="5">
        <f>Table1[[#This Row],[AAPL.Close]] -Table1[[#This Row],[AAPL.Open]]</f>
        <v>-1.4099959999999925</v>
      </c>
      <c r="N151" s="4">
        <f>(Table1[[#This Row],[AAPL.Close]] - Table1[[#This Row],[AAPL.Open]]) /Table1[[#This Row],[AAPL.Open]]</f>
        <v>-1.2823974883782785E-2</v>
      </c>
      <c r="O151" s="4" t="str">
        <f>IF(Table1[[#This Row],[AAPL.Close]] &gt; Table1[[#This Row],[AAPL.Open]], "Up", "Down")</f>
        <v>Down</v>
      </c>
      <c r="P151" s="2" t="s">
        <v>11</v>
      </c>
    </row>
    <row r="152" spans="1:16" x14ac:dyDescent="0.35">
      <c r="A152" s="3">
        <v>42468</v>
      </c>
      <c r="B152" s="2" t="str">
        <f>TEXT(Table1[[#This Row],[Date]],"mmm")</f>
        <v>Apr</v>
      </c>
      <c r="C152" s="1">
        <f>YEAR(Table1[[#This Row],[Date]])</f>
        <v>2016</v>
      </c>
      <c r="D152" s="5">
        <v>108.910004</v>
      </c>
      <c r="E152" s="5">
        <v>109.769997</v>
      </c>
      <c r="F152" s="5">
        <v>108.16999800000001</v>
      </c>
      <c r="G152" s="5">
        <v>108.660004</v>
      </c>
      <c r="H152" s="1">
        <v>23581700</v>
      </c>
      <c r="I152">
        <v>106.410459</v>
      </c>
      <c r="J152">
        <v>102.0312098</v>
      </c>
      <c r="K152">
        <v>107.0348331</v>
      </c>
      <c r="L152">
        <v>112.0384565</v>
      </c>
      <c r="M152" s="5">
        <f>Table1[[#This Row],[AAPL.Close]] -Table1[[#This Row],[AAPL.Open]]</f>
        <v>-0.25</v>
      </c>
      <c r="N152" s="4">
        <f>(Table1[[#This Row],[AAPL.Close]] - Table1[[#This Row],[AAPL.Open]]) /Table1[[#This Row],[AAPL.Open]]</f>
        <v>-2.2954732422927832E-3</v>
      </c>
      <c r="O152" s="4" t="str">
        <f>IF(Table1[[#This Row],[AAPL.Close]] &gt; Table1[[#This Row],[AAPL.Open]], "Up", "Down")</f>
        <v>Down</v>
      </c>
      <c r="P152" s="2" t="s">
        <v>11</v>
      </c>
    </row>
    <row r="153" spans="1:16" x14ac:dyDescent="0.35">
      <c r="A153" s="3">
        <v>42471</v>
      </c>
      <c r="B153" s="2" t="str">
        <f>TEXT(Table1[[#This Row],[Date]],"mmm")</f>
        <v>Apr</v>
      </c>
      <c r="C153" s="1">
        <f>YEAR(Table1[[#This Row],[Date]])</f>
        <v>2016</v>
      </c>
      <c r="D153" s="5">
        <v>108.970001</v>
      </c>
      <c r="E153" s="5">
        <v>110.610001</v>
      </c>
      <c r="F153" s="5">
        <v>108.83000199999999</v>
      </c>
      <c r="G153" s="5">
        <v>109.019997</v>
      </c>
      <c r="H153" s="1">
        <v>29407500</v>
      </c>
      <c r="I153">
        <v>106.76299899999999</v>
      </c>
      <c r="J153">
        <v>102.86570930000001</v>
      </c>
      <c r="K153">
        <v>107.4084998</v>
      </c>
      <c r="L153">
        <v>111.9512903</v>
      </c>
      <c r="M153" s="5">
        <f>Table1[[#This Row],[AAPL.Close]] -Table1[[#This Row],[AAPL.Open]]</f>
        <v>4.9996000000007257E-2</v>
      </c>
      <c r="N153" s="4">
        <f>(Table1[[#This Row],[AAPL.Close]] - Table1[[#This Row],[AAPL.Open]]) /Table1[[#This Row],[AAPL.Open]]</f>
        <v>4.5880517152612724E-4</v>
      </c>
      <c r="O153" s="4" t="str">
        <f>IF(Table1[[#This Row],[AAPL.Close]] &gt; Table1[[#This Row],[AAPL.Open]], "Up", "Down")</f>
        <v>Up</v>
      </c>
      <c r="P153" s="2" t="s">
        <v>10</v>
      </c>
    </row>
    <row r="154" spans="1:16" x14ac:dyDescent="0.35">
      <c r="A154" s="3">
        <v>42472</v>
      </c>
      <c r="B154" s="2" t="str">
        <f>TEXT(Table1[[#This Row],[Date]],"mmm")</f>
        <v>Apr</v>
      </c>
      <c r="C154" s="1">
        <f>YEAR(Table1[[#This Row],[Date]])</f>
        <v>2016</v>
      </c>
      <c r="D154" s="5">
        <v>109.339996</v>
      </c>
      <c r="E154" s="5">
        <v>110.5</v>
      </c>
      <c r="F154" s="5">
        <v>108.660004</v>
      </c>
      <c r="G154" s="5">
        <v>110.44000200000001</v>
      </c>
      <c r="H154" s="1">
        <v>27232300</v>
      </c>
      <c r="I154">
        <v>108.15360699999999</v>
      </c>
      <c r="J154">
        <v>103.74705229999999</v>
      </c>
      <c r="K154">
        <v>107.78166659999999</v>
      </c>
      <c r="L154">
        <v>111.8162808</v>
      </c>
      <c r="M154" s="5">
        <f>Table1[[#This Row],[AAPL.Close]] -Table1[[#This Row],[AAPL.Open]]</f>
        <v>1.1000060000000076</v>
      </c>
      <c r="N154" s="4">
        <f>(Table1[[#This Row],[AAPL.Close]] - Table1[[#This Row],[AAPL.Open]]) /Table1[[#This Row],[AAPL.Open]]</f>
        <v>1.0060417415782671E-2</v>
      </c>
      <c r="O154" s="4" t="str">
        <f>IF(Table1[[#This Row],[AAPL.Close]] &gt; Table1[[#This Row],[AAPL.Open]], "Up", "Down")</f>
        <v>Up</v>
      </c>
      <c r="P154" s="2" t="s">
        <v>10</v>
      </c>
    </row>
    <row r="155" spans="1:16" x14ac:dyDescent="0.35">
      <c r="A155" s="3">
        <v>42473</v>
      </c>
      <c r="B155" s="2" t="str">
        <f>TEXT(Table1[[#This Row],[Date]],"mmm")</f>
        <v>Apr</v>
      </c>
      <c r="C155" s="1">
        <f>YEAR(Table1[[#This Row],[Date]])</f>
        <v>2016</v>
      </c>
      <c r="D155" s="5">
        <v>110.800003</v>
      </c>
      <c r="E155" s="5">
        <v>112.339996</v>
      </c>
      <c r="F155" s="5">
        <v>110.800003</v>
      </c>
      <c r="G155" s="5">
        <v>112.040001</v>
      </c>
      <c r="H155" s="1">
        <v>33257300</v>
      </c>
      <c r="I155">
        <v>109.720482</v>
      </c>
      <c r="J155">
        <v>104.046322</v>
      </c>
      <c r="K155">
        <v>108.14116660000001</v>
      </c>
      <c r="L155">
        <v>112.2360111</v>
      </c>
      <c r="M155" s="5">
        <f>Table1[[#This Row],[AAPL.Close]] -Table1[[#This Row],[AAPL.Open]]</f>
        <v>1.2399979999999999</v>
      </c>
      <c r="N155" s="4">
        <f>(Table1[[#This Row],[AAPL.Close]] - Table1[[#This Row],[AAPL.Open]]) /Table1[[#This Row],[AAPL.Open]]</f>
        <v>1.1191317386516676E-2</v>
      </c>
      <c r="O155" s="4" t="str">
        <f>IF(Table1[[#This Row],[AAPL.Close]] &gt; Table1[[#This Row],[AAPL.Open]], "Up", "Down")</f>
        <v>Up</v>
      </c>
      <c r="P155" s="2" t="s">
        <v>10</v>
      </c>
    </row>
    <row r="156" spans="1:16" x14ac:dyDescent="0.35">
      <c r="A156" s="3">
        <v>42474</v>
      </c>
      <c r="B156" s="2" t="str">
        <f>TEXT(Table1[[#This Row],[Date]],"mmm")</f>
        <v>Apr</v>
      </c>
      <c r="C156" s="1">
        <f>YEAR(Table1[[#This Row],[Date]])</f>
        <v>2016</v>
      </c>
      <c r="D156" s="5">
        <v>111.620003</v>
      </c>
      <c r="E156" s="5">
        <v>112.389999</v>
      </c>
      <c r="F156" s="5">
        <v>111.33000199999999</v>
      </c>
      <c r="G156" s="5">
        <v>112.099998</v>
      </c>
      <c r="H156" s="1">
        <v>25473900</v>
      </c>
      <c r="I156">
        <v>109.77923699999999</v>
      </c>
      <c r="J156">
        <v>104.21588250000001</v>
      </c>
      <c r="K156">
        <v>108.45699999999999</v>
      </c>
      <c r="L156">
        <v>112.6981174</v>
      </c>
      <c r="M156" s="5">
        <f>Table1[[#This Row],[AAPL.Close]] -Table1[[#This Row],[AAPL.Open]]</f>
        <v>0.47999500000000239</v>
      </c>
      <c r="N156" s="4">
        <f>(Table1[[#This Row],[AAPL.Close]] - Table1[[#This Row],[AAPL.Open]]) /Table1[[#This Row],[AAPL.Open]]</f>
        <v>4.3002596944922353E-3</v>
      </c>
      <c r="O156" s="4" t="str">
        <f>IF(Table1[[#This Row],[AAPL.Close]] &gt; Table1[[#This Row],[AAPL.Open]], "Up", "Down")</f>
        <v>Up</v>
      </c>
      <c r="P156" s="2" t="s">
        <v>10</v>
      </c>
    </row>
    <row r="157" spans="1:16" x14ac:dyDescent="0.35">
      <c r="A157" s="3">
        <v>42475</v>
      </c>
      <c r="B157" s="2" t="str">
        <f>TEXT(Table1[[#This Row],[Date]],"mmm")</f>
        <v>Apr</v>
      </c>
      <c r="C157" s="1">
        <f>YEAR(Table1[[#This Row],[Date]])</f>
        <v>2016</v>
      </c>
      <c r="D157" s="5">
        <v>112.110001</v>
      </c>
      <c r="E157" s="5">
        <v>112.300003</v>
      </c>
      <c r="F157" s="5">
        <v>109.730003</v>
      </c>
      <c r="G157" s="5">
        <v>109.849998</v>
      </c>
      <c r="H157" s="1">
        <v>46939000</v>
      </c>
      <c r="I157">
        <v>107.575818</v>
      </c>
      <c r="J157">
        <v>104.5517928</v>
      </c>
      <c r="K157">
        <v>108.70116659999999</v>
      </c>
      <c r="L157">
        <v>112.85054049999999</v>
      </c>
      <c r="M157" s="5">
        <f>Table1[[#This Row],[AAPL.Close]] -Table1[[#This Row],[AAPL.Open]]</f>
        <v>-2.2600029999999975</v>
      </c>
      <c r="N157" s="4">
        <f>(Table1[[#This Row],[AAPL.Close]] - Table1[[#This Row],[AAPL.Open]]) /Table1[[#This Row],[AAPL.Open]]</f>
        <v>-2.0158799213640159E-2</v>
      </c>
      <c r="O157" s="4" t="str">
        <f>IF(Table1[[#This Row],[AAPL.Close]] &gt; Table1[[#This Row],[AAPL.Open]], "Up", "Down")</f>
        <v>Down</v>
      </c>
      <c r="P157" s="2" t="s">
        <v>11</v>
      </c>
    </row>
    <row r="158" spans="1:16" x14ac:dyDescent="0.35">
      <c r="A158" s="3">
        <v>42478</v>
      </c>
      <c r="B158" s="2" t="str">
        <f>TEXT(Table1[[#This Row],[Date]],"mmm")</f>
        <v>Apr</v>
      </c>
      <c r="C158" s="1">
        <f>YEAR(Table1[[#This Row],[Date]])</f>
        <v>2016</v>
      </c>
      <c r="D158" s="5">
        <v>108.889999</v>
      </c>
      <c r="E158" s="5">
        <v>108.949997</v>
      </c>
      <c r="F158" s="5">
        <v>106.94000200000001</v>
      </c>
      <c r="G158" s="5">
        <v>107.480003</v>
      </c>
      <c r="H158" s="1">
        <v>60834000</v>
      </c>
      <c r="I158">
        <v>105.25488799999999</v>
      </c>
      <c r="J158">
        <v>104.8293735</v>
      </c>
      <c r="K158">
        <v>108.79716670000001</v>
      </c>
      <c r="L158">
        <v>112.76495989999999</v>
      </c>
      <c r="M158" s="5">
        <f>Table1[[#This Row],[AAPL.Close]] -Table1[[#This Row],[AAPL.Open]]</f>
        <v>-1.4099960000000067</v>
      </c>
      <c r="N158" s="4">
        <f>(Table1[[#This Row],[AAPL.Close]] - Table1[[#This Row],[AAPL.Open]]) /Table1[[#This Row],[AAPL.Open]]</f>
        <v>-1.2948810845337657E-2</v>
      </c>
      <c r="O158" s="4" t="str">
        <f>IF(Table1[[#This Row],[AAPL.Close]] &gt; Table1[[#This Row],[AAPL.Open]], "Up", "Down")</f>
        <v>Down</v>
      </c>
      <c r="P158" s="2" t="s">
        <v>11</v>
      </c>
    </row>
    <row r="159" spans="1:16" x14ac:dyDescent="0.35">
      <c r="A159" s="3">
        <v>42479</v>
      </c>
      <c r="B159" s="2" t="str">
        <f>TEXT(Table1[[#This Row],[Date]],"mmm")</f>
        <v>Apr</v>
      </c>
      <c r="C159" s="1">
        <f>YEAR(Table1[[#This Row],[Date]])</f>
        <v>2016</v>
      </c>
      <c r="D159" s="5">
        <v>107.879997</v>
      </c>
      <c r="E159" s="5">
        <v>108</v>
      </c>
      <c r="F159" s="5">
        <v>106.230003</v>
      </c>
      <c r="G159" s="5">
        <v>106.910004</v>
      </c>
      <c r="H159" s="1">
        <v>32384900</v>
      </c>
      <c r="I159">
        <v>104.69668900000001</v>
      </c>
      <c r="J159">
        <v>104.9603381</v>
      </c>
      <c r="K159">
        <v>108.83783339999999</v>
      </c>
      <c r="L159">
        <v>112.7153287</v>
      </c>
      <c r="M159" s="5">
        <f>Table1[[#This Row],[AAPL.Close]] -Table1[[#This Row],[AAPL.Open]]</f>
        <v>-0.96999300000000233</v>
      </c>
      <c r="N159" s="4">
        <f>(Table1[[#This Row],[AAPL.Close]] - Table1[[#This Row],[AAPL.Open]]) /Table1[[#This Row],[AAPL.Open]]</f>
        <v>-8.9914073690602926E-3</v>
      </c>
      <c r="O159" s="4" t="str">
        <f>IF(Table1[[#This Row],[AAPL.Close]] &gt; Table1[[#This Row],[AAPL.Open]], "Up", "Down")</f>
        <v>Down</v>
      </c>
      <c r="P159" s="2" t="s">
        <v>11</v>
      </c>
    </row>
    <row r="160" spans="1:16" x14ac:dyDescent="0.35">
      <c r="A160" s="3">
        <v>42480</v>
      </c>
      <c r="B160" s="2" t="str">
        <f>TEXT(Table1[[#This Row],[Date]],"mmm")</f>
        <v>Apr</v>
      </c>
      <c r="C160" s="1">
        <f>YEAR(Table1[[#This Row],[Date]])</f>
        <v>2016</v>
      </c>
      <c r="D160" s="5">
        <v>106.639999</v>
      </c>
      <c r="E160" s="5">
        <v>108.089996</v>
      </c>
      <c r="F160" s="5">
        <v>106.05999799999999</v>
      </c>
      <c r="G160" s="5">
        <v>107.129997</v>
      </c>
      <c r="H160" s="1">
        <v>30611000</v>
      </c>
      <c r="I160">
        <v>104.912128</v>
      </c>
      <c r="J160">
        <v>105.0699568</v>
      </c>
      <c r="K160">
        <v>108.87216650000001</v>
      </c>
      <c r="L160">
        <v>112.67437630000001</v>
      </c>
      <c r="M160" s="5">
        <f>Table1[[#This Row],[AAPL.Close]] -Table1[[#This Row],[AAPL.Open]]</f>
        <v>0.48999799999999993</v>
      </c>
      <c r="N160" s="4">
        <f>(Table1[[#This Row],[AAPL.Close]] - Table1[[#This Row],[AAPL.Open]]) /Table1[[#This Row],[AAPL.Open]]</f>
        <v>4.5948800130802695E-3</v>
      </c>
      <c r="O160" s="4" t="str">
        <f>IF(Table1[[#This Row],[AAPL.Close]] &gt; Table1[[#This Row],[AAPL.Open]], "Up", "Down")</f>
        <v>Up</v>
      </c>
      <c r="P160" s="2" t="s">
        <v>10</v>
      </c>
    </row>
    <row r="161" spans="1:16" x14ac:dyDescent="0.35">
      <c r="A161" s="3">
        <v>42481</v>
      </c>
      <c r="B161" s="2" t="str">
        <f>TEXT(Table1[[#This Row],[Date]],"mmm")</f>
        <v>Apr</v>
      </c>
      <c r="C161" s="1">
        <f>YEAR(Table1[[#This Row],[Date]])</f>
        <v>2016</v>
      </c>
      <c r="D161" s="5">
        <v>106.93</v>
      </c>
      <c r="E161" s="5">
        <v>106.93</v>
      </c>
      <c r="F161" s="5">
        <v>105.519997</v>
      </c>
      <c r="G161" s="5">
        <v>105.970001</v>
      </c>
      <c r="H161" s="1">
        <v>31552500</v>
      </c>
      <c r="I161">
        <v>103.77614699999999</v>
      </c>
      <c r="J161">
        <v>105.02759349999999</v>
      </c>
      <c r="K161">
        <v>108.8608332</v>
      </c>
      <c r="L161">
        <v>112.6940728</v>
      </c>
      <c r="M161" s="5">
        <f>Table1[[#This Row],[AAPL.Close]] -Table1[[#This Row],[AAPL.Open]]</f>
        <v>-0.95999900000001048</v>
      </c>
      <c r="N161" s="4">
        <f>(Table1[[#This Row],[AAPL.Close]] - Table1[[#This Row],[AAPL.Open]]) /Table1[[#This Row],[AAPL.Open]]</f>
        <v>-8.9778266155429755E-3</v>
      </c>
      <c r="O161" s="4" t="str">
        <f>IF(Table1[[#This Row],[AAPL.Close]] &gt; Table1[[#This Row],[AAPL.Open]], "Up", "Down")</f>
        <v>Down</v>
      </c>
      <c r="P161" s="2" t="s">
        <v>11</v>
      </c>
    </row>
    <row r="162" spans="1:16" x14ac:dyDescent="0.35">
      <c r="A162" s="3">
        <v>42482</v>
      </c>
      <c r="B162" s="2" t="str">
        <f>TEXT(Table1[[#This Row],[Date]],"mmm")</f>
        <v>Apr</v>
      </c>
      <c r="C162" s="1">
        <f>YEAR(Table1[[#This Row],[Date]])</f>
        <v>2016</v>
      </c>
      <c r="D162" s="5">
        <v>105.010002</v>
      </c>
      <c r="E162" s="5">
        <v>106.480003</v>
      </c>
      <c r="F162" s="5">
        <v>104.620003</v>
      </c>
      <c r="G162" s="5">
        <v>105.68</v>
      </c>
      <c r="H162" s="1">
        <v>33683100</v>
      </c>
      <c r="I162">
        <v>103.492149</v>
      </c>
      <c r="J162">
        <v>105.0253925</v>
      </c>
      <c r="K162">
        <v>108.86033329999999</v>
      </c>
      <c r="L162">
        <v>112.6952742</v>
      </c>
      <c r="M162" s="5">
        <f>Table1[[#This Row],[AAPL.Close]] -Table1[[#This Row],[AAPL.Open]]</f>
        <v>0.66999800000000675</v>
      </c>
      <c r="N162" s="4">
        <f>(Table1[[#This Row],[AAPL.Close]] - Table1[[#This Row],[AAPL.Open]]) /Table1[[#This Row],[AAPL.Open]]</f>
        <v>6.3803255617498871E-3</v>
      </c>
      <c r="O162" s="4" t="str">
        <f>IF(Table1[[#This Row],[AAPL.Close]] &gt; Table1[[#This Row],[AAPL.Open]], "Up", "Down")</f>
        <v>Up</v>
      </c>
      <c r="P162" s="2" t="s">
        <v>10</v>
      </c>
    </row>
    <row r="163" spans="1:16" x14ac:dyDescent="0.35">
      <c r="A163" s="3">
        <v>42485</v>
      </c>
      <c r="B163" s="2" t="str">
        <f>TEXT(Table1[[#This Row],[Date]],"mmm")</f>
        <v>Apr</v>
      </c>
      <c r="C163" s="1">
        <f>YEAR(Table1[[#This Row],[Date]])</f>
        <v>2016</v>
      </c>
      <c r="D163" s="5">
        <v>105</v>
      </c>
      <c r="E163" s="5">
        <v>105.650002</v>
      </c>
      <c r="F163" s="5">
        <v>104.510002</v>
      </c>
      <c r="G163" s="5">
        <v>105.08000199999999</v>
      </c>
      <c r="H163" s="1">
        <v>28031600</v>
      </c>
      <c r="I163">
        <v>102.904573</v>
      </c>
      <c r="J163">
        <v>104.9316223</v>
      </c>
      <c r="K163">
        <v>108.84033340000001</v>
      </c>
      <c r="L163">
        <v>112.7490445</v>
      </c>
      <c r="M163" s="5">
        <f>Table1[[#This Row],[AAPL.Close]] -Table1[[#This Row],[AAPL.Open]]</f>
        <v>8.0001999999993245E-2</v>
      </c>
      <c r="N163" s="4">
        <f>(Table1[[#This Row],[AAPL.Close]] - Table1[[#This Row],[AAPL.Open]]) /Table1[[#This Row],[AAPL.Open]]</f>
        <v>7.619238095237452E-4</v>
      </c>
      <c r="O163" s="4" t="str">
        <f>IF(Table1[[#This Row],[AAPL.Close]] &gt; Table1[[#This Row],[AAPL.Open]], "Up", "Down")</f>
        <v>Up</v>
      </c>
      <c r="P163" s="2" t="s">
        <v>10</v>
      </c>
    </row>
    <row r="164" spans="1:16" x14ac:dyDescent="0.35">
      <c r="A164" s="3">
        <v>42486</v>
      </c>
      <c r="B164" s="2" t="str">
        <f>TEXT(Table1[[#This Row],[Date]],"mmm")</f>
        <v>Apr</v>
      </c>
      <c r="C164" s="1">
        <f>YEAR(Table1[[#This Row],[Date]])</f>
        <v>2016</v>
      </c>
      <c r="D164" s="5">
        <v>103.910004</v>
      </c>
      <c r="E164" s="5">
        <v>105.300003</v>
      </c>
      <c r="F164" s="5">
        <v>103.910004</v>
      </c>
      <c r="G164" s="5">
        <v>104.349998</v>
      </c>
      <c r="H164" s="1">
        <v>56016200</v>
      </c>
      <c r="I164">
        <v>102.189682</v>
      </c>
      <c r="J164">
        <v>104.4711595</v>
      </c>
      <c r="K164">
        <v>108.7271669</v>
      </c>
      <c r="L164">
        <v>112.98317419999999</v>
      </c>
      <c r="M164" s="5">
        <f>Table1[[#This Row],[AAPL.Close]] -Table1[[#This Row],[AAPL.Open]]</f>
        <v>0.43999399999999866</v>
      </c>
      <c r="N164" s="4">
        <f>(Table1[[#This Row],[AAPL.Close]] - Table1[[#This Row],[AAPL.Open]]) /Table1[[#This Row],[AAPL.Open]]</f>
        <v>4.2343757392214005E-3</v>
      </c>
      <c r="O164" s="4" t="str">
        <f>IF(Table1[[#This Row],[AAPL.Close]] &gt; Table1[[#This Row],[AAPL.Open]], "Up", "Down")</f>
        <v>Up</v>
      </c>
      <c r="P164" s="2" t="s">
        <v>10</v>
      </c>
    </row>
    <row r="165" spans="1:16" x14ac:dyDescent="0.35">
      <c r="A165" s="3">
        <v>42487</v>
      </c>
      <c r="B165" s="2" t="str">
        <f>TEXT(Table1[[#This Row],[Date]],"mmm")</f>
        <v>Apr</v>
      </c>
      <c r="C165" s="1">
        <f>YEAR(Table1[[#This Row],[Date]])</f>
        <v>2016</v>
      </c>
      <c r="D165" s="5">
        <v>96</v>
      </c>
      <c r="E165" s="5">
        <v>98.709998999999996</v>
      </c>
      <c r="F165" s="5">
        <v>95.68</v>
      </c>
      <c r="G165" s="5">
        <v>97.82</v>
      </c>
      <c r="H165" s="1">
        <v>114602100</v>
      </c>
      <c r="I165">
        <v>95.794871000000001</v>
      </c>
      <c r="J165">
        <v>101.6277845</v>
      </c>
      <c r="K165">
        <v>108.12100030000001</v>
      </c>
      <c r="L165">
        <v>114.614216</v>
      </c>
      <c r="M165" s="5">
        <f>Table1[[#This Row],[AAPL.Close]] -Table1[[#This Row],[AAPL.Open]]</f>
        <v>1.8199999999999932</v>
      </c>
      <c r="N165" s="4">
        <f>(Table1[[#This Row],[AAPL.Close]] - Table1[[#This Row],[AAPL.Open]]) /Table1[[#This Row],[AAPL.Open]]</f>
        <v>1.8958333333333261E-2</v>
      </c>
      <c r="O165" s="4" t="str">
        <f>IF(Table1[[#This Row],[AAPL.Close]] &gt; Table1[[#This Row],[AAPL.Open]], "Up", "Down")</f>
        <v>Up</v>
      </c>
      <c r="P165" s="2" t="s">
        <v>10</v>
      </c>
    </row>
    <row r="166" spans="1:16" x14ac:dyDescent="0.35">
      <c r="A166" s="3">
        <v>42488</v>
      </c>
      <c r="B166" s="2" t="str">
        <f>TEXT(Table1[[#This Row],[Date]],"mmm")</f>
        <v>Apr</v>
      </c>
      <c r="C166" s="1">
        <f>YEAR(Table1[[#This Row],[Date]])</f>
        <v>2016</v>
      </c>
      <c r="D166" s="5">
        <v>97.610000999999997</v>
      </c>
      <c r="E166" s="5">
        <v>97.879997000000003</v>
      </c>
      <c r="F166" s="5">
        <v>94.25</v>
      </c>
      <c r="G166" s="5">
        <v>94.830001999999993</v>
      </c>
      <c r="H166" s="1">
        <v>82242700</v>
      </c>
      <c r="I166">
        <v>92.866774000000007</v>
      </c>
      <c r="J166">
        <v>99.00626536</v>
      </c>
      <c r="K166">
        <v>107.4408336</v>
      </c>
      <c r="L166">
        <v>115.8754019</v>
      </c>
      <c r="M166" s="5">
        <f>Table1[[#This Row],[AAPL.Close]] -Table1[[#This Row],[AAPL.Open]]</f>
        <v>-2.7799990000000037</v>
      </c>
      <c r="N166" s="4">
        <f>(Table1[[#This Row],[AAPL.Close]] - Table1[[#This Row],[AAPL.Open]]) /Table1[[#This Row],[AAPL.Open]]</f>
        <v>-2.8480677917419588E-2</v>
      </c>
      <c r="O166" s="4" t="str">
        <f>IF(Table1[[#This Row],[AAPL.Close]] &gt; Table1[[#This Row],[AAPL.Open]], "Up", "Down")</f>
        <v>Down</v>
      </c>
      <c r="P166" s="2" t="s">
        <v>11</v>
      </c>
    </row>
    <row r="167" spans="1:16" x14ac:dyDescent="0.35">
      <c r="A167" s="3">
        <v>42489</v>
      </c>
      <c r="B167" s="2" t="str">
        <f>TEXT(Table1[[#This Row],[Date]],"mmm")</f>
        <v>Apr</v>
      </c>
      <c r="C167" s="1">
        <f>YEAR(Table1[[#This Row],[Date]])</f>
        <v>2016</v>
      </c>
      <c r="D167" s="5">
        <v>93.989998</v>
      </c>
      <c r="E167" s="5">
        <v>94.720000999999996</v>
      </c>
      <c r="F167" s="5">
        <v>92.510002</v>
      </c>
      <c r="G167" s="5">
        <v>93.739998</v>
      </c>
      <c r="H167" s="1">
        <v>68531500</v>
      </c>
      <c r="I167">
        <v>91.799335999999997</v>
      </c>
      <c r="J167">
        <v>96.363058190000004</v>
      </c>
      <c r="K167">
        <v>106.65383370000001</v>
      </c>
      <c r="L167">
        <v>116.9446093</v>
      </c>
      <c r="M167" s="5">
        <f>Table1[[#This Row],[AAPL.Close]] -Table1[[#This Row],[AAPL.Open]]</f>
        <v>-0.25</v>
      </c>
      <c r="N167" s="4">
        <f>(Table1[[#This Row],[AAPL.Close]] - Table1[[#This Row],[AAPL.Open]]) /Table1[[#This Row],[AAPL.Open]]</f>
        <v>-2.6598574882403976E-3</v>
      </c>
      <c r="O167" s="4" t="str">
        <f>IF(Table1[[#This Row],[AAPL.Close]] &gt; Table1[[#This Row],[AAPL.Open]], "Up", "Down")</f>
        <v>Down</v>
      </c>
      <c r="P167" s="2" t="s">
        <v>11</v>
      </c>
    </row>
    <row r="168" spans="1:16" x14ac:dyDescent="0.35">
      <c r="A168" s="3">
        <v>42125</v>
      </c>
      <c r="B168" s="2" t="str">
        <f>TEXT(Table1[[#This Row],[Date]],"mmm")</f>
        <v>May</v>
      </c>
      <c r="C168" s="1">
        <f>YEAR(Table1[[#This Row],[Date]])</f>
        <v>2015</v>
      </c>
      <c r="D168" s="5">
        <v>126.099998</v>
      </c>
      <c r="E168" s="5">
        <v>130.13000500000001</v>
      </c>
      <c r="F168" s="5">
        <v>125.300003</v>
      </c>
      <c r="G168" s="5">
        <v>128.949997</v>
      </c>
      <c r="H168" s="1">
        <v>58512600</v>
      </c>
      <c r="I168">
        <v>123.9821</v>
      </c>
      <c r="J168">
        <v>123.7928685</v>
      </c>
      <c r="K168">
        <v>127.62583309999999</v>
      </c>
      <c r="L168">
        <v>131.45879769999999</v>
      </c>
      <c r="M168" s="5">
        <f>Table1[[#This Row],[AAPL.Close]] -Table1[[#This Row],[AAPL.Open]]</f>
        <v>2.8499989999999968</v>
      </c>
      <c r="N168" s="4">
        <f>(Table1[[#This Row],[AAPL.Close]] - Table1[[#This Row],[AAPL.Open]]) /Table1[[#This Row],[AAPL.Open]]</f>
        <v>2.2601102658225236E-2</v>
      </c>
      <c r="O168" s="4" t="str">
        <f>IF(Table1[[#This Row],[AAPL.Close]] &gt; Table1[[#This Row],[AAPL.Open]], "Up", "Down")</f>
        <v>Up</v>
      </c>
      <c r="P168" s="2" t="s">
        <v>10</v>
      </c>
    </row>
    <row r="169" spans="1:16" x14ac:dyDescent="0.35">
      <c r="A169" s="3">
        <v>42128</v>
      </c>
      <c r="B169" s="2" t="str">
        <f>TEXT(Table1[[#This Row],[Date]],"mmm")</f>
        <v>May</v>
      </c>
      <c r="C169" s="1">
        <f>YEAR(Table1[[#This Row],[Date]])</f>
        <v>2015</v>
      </c>
      <c r="D169" s="5">
        <v>129.5</v>
      </c>
      <c r="E169" s="5">
        <v>130.570007</v>
      </c>
      <c r="F169" s="5">
        <v>128.259995</v>
      </c>
      <c r="G169" s="5">
        <v>128.699997</v>
      </c>
      <c r="H169" s="1">
        <v>50988300</v>
      </c>
      <c r="I169">
        <v>123.741732</v>
      </c>
      <c r="J169">
        <v>123.9186426</v>
      </c>
      <c r="K169">
        <v>127.764833</v>
      </c>
      <c r="L169">
        <v>131.61102349999999</v>
      </c>
      <c r="M169" s="5">
        <f>Table1[[#This Row],[AAPL.Close]] -Table1[[#This Row],[AAPL.Open]]</f>
        <v>-0.80000300000000379</v>
      </c>
      <c r="N169" s="4">
        <f>(Table1[[#This Row],[AAPL.Close]] - Table1[[#This Row],[AAPL.Open]]) /Table1[[#This Row],[AAPL.Open]]</f>
        <v>-6.1776293436293728E-3</v>
      </c>
      <c r="O169" s="4" t="str">
        <f>IF(Table1[[#This Row],[AAPL.Close]] &gt; Table1[[#This Row],[AAPL.Open]], "Up", "Down")</f>
        <v>Down</v>
      </c>
      <c r="P169" s="2" t="s">
        <v>11</v>
      </c>
    </row>
    <row r="170" spans="1:16" x14ac:dyDescent="0.35">
      <c r="A170" s="3">
        <v>42129</v>
      </c>
      <c r="B170" s="2" t="str">
        <f>TEXT(Table1[[#This Row],[Date]],"mmm")</f>
        <v>May</v>
      </c>
      <c r="C170" s="1">
        <f>YEAR(Table1[[#This Row],[Date]])</f>
        <v>2015</v>
      </c>
      <c r="D170" s="5">
        <v>128.14999399999999</v>
      </c>
      <c r="E170" s="5">
        <v>128.449997</v>
      </c>
      <c r="F170" s="5">
        <v>125.779999</v>
      </c>
      <c r="G170" s="5">
        <v>125.800003</v>
      </c>
      <c r="H170" s="1">
        <v>49271400</v>
      </c>
      <c r="I170">
        <v>120.953462</v>
      </c>
      <c r="J170">
        <v>123.91582</v>
      </c>
      <c r="K170">
        <v>127.7634997</v>
      </c>
      <c r="L170">
        <v>131.6111794</v>
      </c>
      <c r="M170" s="5">
        <f>Table1[[#This Row],[AAPL.Close]] -Table1[[#This Row],[AAPL.Open]]</f>
        <v>-2.3499909999999886</v>
      </c>
      <c r="N170" s="4">
        <f>(Table1[[#This Row],[AAPL.Close]] - Table1[[#This Row],[AAPL.Open]]) /Table1[[#This Row],[AAPL.Open]]</f>
        <v>-1.8337815919054892E-2</v>
      </c>
      <c r="O170" s="4" t="str">
        <f>IF(Table1[[#This Row],[AAPL.Close]] &gt; Table1[[#This Row],[AAPL.Open]], "Up", "Down")</f>
        <v>Down</v>
      </c>
      <c r="P170" s="2" t="s">
        <v>11</v>
      </c>
    </row>
    <row r="171" spans="1:16" x14ac:dyDescent="0.35">
      <c r="A171" s="3">
        <v>42130</v>
      </c>
      <c r="B171" s="2" t="str">
        <f>TEXT(Table1[[#This Row],[Date]],"mmm")</f>
        <v>May</v>
      </c>
      <c r="C171" s="1">
        <f>YEAR(Table1[[#This Row],[Date]])</f>
        <v>2015</v>
      </c>
      <c r="D171" s="5">
        <v>126.55999799999999</v>
      </c>
      <c r="E171" s="5">
        <v>126.75</v>
      </c>
      <c r="F171" s="5">
        <v>123.360001</v>
      </c>
      <c r="G171" s="5">
        <v>125.010002</v>
      </c>
      <c r="H171" s="1">
        <v>72141000</v>
      </c>
      <c r="I171">
        <v>120.19389700000001</v>
      </c>
      <c r="J171">
        <v>123.8088193</v>
      </c>
      <c r="K171">
        <v>127.7326664</v>
      </c>
      <c r="L171">
        <v>131.65651349999999</v>
      </c>
      <c r="M171" s="5">
        <f>Table1[[#This Row],[AAPL.Close]] -Table1[[#This Row],[AAPL.Open]]</f>
        <v>-1.549995999999993</v>
      </c>
      <c r="N171" s="4">
        <f>(Table1[[#This Row],[AAPL.Close]] - Table1[[#This Row],[AAPL.Open]]) /Table1[[#This Row],[AAPL.Open]]</f>
        <v>-1.2247124087343879E-2</v>
      </c>
      <c r="O171" s="4" t="str">
        <f>IF(Table1[[#This Row],[AAPL.Close]] &gt; Table1[[#This Row],[AAPL.Open]], "Up", "Down")</f>
        <v>Down</v>
      </c>
      <c r="P171" s="2" t="s">
        <v>11</v>
      </c>
    </row>
    <row r="172" spans="1:16" x14ac:dyDescent="0.35">
      <c r="A172" s="3">
        <v>42131</v>
      </c>
      <c r="B172" s="2" t="str">
        <f>TEXT(Table1[[#This Row],[Date]],"mmm")</f>
        <v>May</v>
      </c>
      <c r="C172" s="1">
        <f>YEAR(Table1[[#This Row],[Date]])</f>
        <v>2015</v>
      </c>
      <c r="D172" s="5">
        <v>124.769997</v>
      </c>
      <c r="E172" s="5">
        <v>126.08000199999999</v>
      </c>
      <c r="F172" s="5">
        <v>124.019997</v>
      </c>
      <c r="G172" s="5">
        <v>125.260002</v>
      </c>
      <c r="H172" s="1">
        <v>43940900</v>
      </c>
      <c r="I172">
        <v>120.93733</v>
      </c>
      <c r="J172">
        <v>123.6785663</v>
      </c>
      <c r="K172">
        <v>127.6919997</v>
      </c>
      <c r="L172">
        <v>131.705433</v>
      </c>
      <c r="M172" s="5">
        <f>Table1[[#This Row],[AAPL.Close]] -Table1[[#This Row],[AAPL.Open]]</f>
        <v>0.49000499999999647</v>
      </c>
      <c r="N172" s="4">
        <f>(Table1[[#This Row],[AAPL.Close]] - Table1[[#This Row],[AAPL.Open]]) /Table1[[#This Row],[AAPL.Open]]</f>
        <v>3.927266264180454E-3</v>
      </c>
      <c r="O172" s="4" t="str">
        <f>IF(Table1[[#This Row],[AAPL.Close]] &gt; Table1[[#This Row],[AAPL.Open]], "Up", "Down")</f>
        <v>Up</v>
      </c>
      <c r="P172" s="2" t="s">
        <v>10</v>
      </c>
    </row>
    <row r="173" spans="1:16" x14ac:dyDescent="0.35">
      <c r="A173" s="3">
        <v>42132</v>
      </c>
      <c r="B173" s="2" t="str">
        <f>TEXT(Table1[[#This Row],[Date]],"mmm")</f>
        <v>May</v>
      </c>
      <c r="C173" s="1">
        <f>YEAR(Table1[[#This Row],[Date]])</f>
        <v>2015</v>
      </c>
      <c r="D173" s="5">
        <v>126.68</v>
      </c>
      <c r="E173" s="5">
        <v>127.620003</v>
      </c>
      <c r="F173" s="5">
        <v>126.110001</v>
      </c>
      <c r="G173" s="5">
        <v>127.620003</v>
      </c>
      <c r="H173" s="1">
        <v>55550400</v>
      </c>
      <c r="I173">
        <v>123.21588800000001</v>
      </c>
      <c r="J173">
        <v>123.7345408</v>
      </c>
      <c r="K173">
        <v>127.7216665</v>
      </c>
      <c r="L173">
        <v>131.7087922</v>
      </c>
      <c r="M173" s="5">
        <f>Table1[[#This Row],[AAPL.Close]] -Table1[[#This Row],[AAPL.Open]]</f>
        <v>0.94000299999999015</v>
      </c>
      <c r="N173" s="4">
        <f>(Table1[[#This Row],[AAPL.Close]] - Table1[[#This Row],[AAPL.Open]]) /Table1[[#This Row],[AAPL.Open]]</f>
        <v>7.4202952320807552E-3</v>
      </c>
      <c r="O173" s="4" t="str">
        <f>IF(Table1[[#This Row],[AAPL.Close]] &gt; Table1[[#This Row],[AAPL.Open]], "Up", "Down")</f>
        <v>Up</v>
      </c>
      <c r="P173" s="2" t="s">
        <v>10</v>
      </c>
    </row>
    <row r="174" spans="1:16" x14ac:dyDescent="0.35">
      <c r="A174" s="3">
        <v>42135</v>
      </c>
      <c r="B174" s="2" t="str">
        <f>TEXT(Table1[[#This Row],[Date]],"mmm")</f>
        <v>May</v>
      </c>
      <c r="C174" s="1">
        <f>YEAR(Table1[[#This Row],[Date]])</f>
        <v>2015</v>
      </c>
      <c r="D174" s="5">
        <v>127.389999</v>
      </c>
      <c r="E174" s="5">
        <v>127.55999799999999</v>
      </c>
      <c r="F174" s="5">
        <v>125.629997</v>
      </c>
      <c r="G174" s="5">
        <v>126.32</v>
      </c>
      <c r="H174" s="1">
        <v>42035800</v>
      </c>
      <c r="I174">
        <v>121.960747</v>
      </c>
      <c r="J174">
        <v>123.6599205</v>
      </c>
      <c r="K174">
        <v>127.67966629999999</v>
      </c>
      <c r="L174">
        <v>131.69941209999999</v>
      </c>
      <c r="M174" s="5">
        <f>Table1[[#This Row],[AAPL.Close]] -Table1[[#This Row],[AAPL.Open]]</f>
        <v>-1.0699990000000099</v>
      </c>
      <c r="N174" s="4">
        <f>(Table1[[#This Row],[AAPL.Close]] - Table1[[#This Row],[AAPL.Open]]) /Table1[[#This Row],[AAPL.Open]]</f>
        <v>-8.3993956228856706E-3</v>
      </c>
      <c r="O174" s="4" t="str">
        <f>IF(Table1[[#This Row],[AAPL.Close]] &gt; Table1[[#This Row],[AAPL.Open]], "Up", "Down")</f>
        <v>Down</v>
      </c>
      <c r="P174" s="2" t="s">
        <v>11</v>
      </c>
    </row>
    <row r="175" spans="1:16" x14ac:dyDescent="0.35">
      <c r="A175" s="3">
        <v>42136</v>
      </c>
      <c r="B175" s="2" t="str">
        <f>TEXT(Table1[[#This Row],[Date]],"mmm")</f>
        <v>May</v>
      </c>
      <c r="C175" s="1">
        <f>YEAR(Table1[[#This Row],[Date]])</f>
        <v>2015</v>
      </c>
      <c r="D175" s="5">
        <v>125.599998</v>
      </c>
      <c r="E175" s="5">
        <v>126.879997</v>
      </c>
      <c r="F175" s="5">
        <v>124.82</v>
      </c>
      <c r="G175" s="5">
        <v>125.870003</v>
      </c>
      <c r="H175" s="1">
        <v>48160000</v>
      </c>
      <c r="I175">
        <v>121.526279</v>
      </c>
      <c r="J175">
        <v>123.5804905</v>
      </c>
      <c r="K175">
        <v>127.6474995</v>
      </c>
      <c r="L175">
        <v>131.7145084</v>
      </c>
      <c r="M175" s="5">
        <f>Table1[[#This Row],[AAPL.Close]] -Table1[[#This Row],[AAPL.Open]]</f>
        <v>0.27000499999999761</v>
      </c>
      <c r="N175" s="4">
        <f>(Table1[[#This Row],[AAPL.Close]] - Table1[[#This Row],[AAPL.Open]]) /Table1[[#This Row],[AAPL.Open]]</f>
        <v>2.1497213718108307E-3</v>
      </c>
      <c r="O175" s="4" t="str">
        <f>IF(Table1[[#This Row],[AAPL.Close]] &gt; Table1[[#This Row],[AAPL.Open]], "Up", "Down")</f>
        <v>Up</v>
      </c>
      <c r="P175" s="2" t="s">
        <v>10</v>
      </c>
    </row>
    <row r="176" spans="1:16" x14ac:dyDescent="0.35">
      <c r="A176" s="3">
        <v>42137</v>
      </c>
      <c r="B176" s="2" t="str">
        <f>TEXT(Table1[[#This Row],[Date]],"mmm")</f>
        <v>May</v>
      </c>
      <c r="C176" s="1">
        <f>YEAR(Table1[[#This Row],[Date]])</f>
        <v>2015</v>
      </c>
      <c r="D176" s="5">
        <v>126.150002</v>
      </c>
      <c r="E176" s="5">
        <v>127.19000200000001</v>
      </c>
      <c r="F176" s="5">
        <v>125.870003</v>
      </c>
      <c r="G176" s="5">
        <v>126.010002</v>
      </c>
      <c r="H176" s="1">
        <v>34694200</v>
      </c>
      <c r="I176">
        <v>121.661447</v>
      </c>
      <c r="J176">
        <v>123.5504423</v>
      </c>
      <c r="K176">
        <v>127.63333299999999</v>
      </c>
      <c r="L176">
        <v>131.71622360000001</v>
      </c>
      <c r="M176" s="5">
        <f>Table1[[#This Row],[AAPL.Close]] -Table1[[#This Row],[AAPL.Open]]</f>
        <v>-0.14000000000000057</v>
      </c>
      <c r="N176" s="4">
        <f>(Table1[[#This Row],[AAPL.Close]] - Table1[[#This Row],[AAPL.Open]]) /Table1[[#This Row],[AAPL.Open]]</f>
        <v>-1.1097899150251346E-3</v>
      </c>
      <c r="O176" s="4" t="str">
        <f>IF(Table1[[#This Row],[AAPL.Close]] &gt; Table1[[#This Row],[AAPL.Open]], "Up", "Down")</f>
        <v>Down</v>
      </c>
      <c r="P176" s="2" t="s">
        <v>11</v>
      </c>
    </row>
    <row r="177" spans="1:16" x14ac:dyDescent="0.35">
      <c r="A177" s="3">
        <v>42138</v>
      </c>
      <c r="B177" s="2" t="str">
        <f>TEXT(Table1[[#This Row],[Date]],"mmm")</f>
        <v>May</v>
      </c>
      <c r="C177" s="1">
        <f>YEAR(Table1[[#This Row],[Date]])</f>
        <v>2015</v>
      </c>
      <c r="D177" s="5">
        <v>127.410004</v>
      </c>
      <c r="E177" s="5">
        <v>128.949997</v>
      </c>
      <c r="F177" s="5">
        <v>127.160004</v>
      </c>
      <c r="G177" s="5">
        <v>128.949997</v>
      </c>
      <c r="H177" s="1">
        <v>45203500</v>
      </c>
      <c r="I177">
        <v>124.499984</v>
      </c>
      <c r="J177">
        <v>123.67060069999999</v>
      </c>
      <c r="K177">
        <v>127.7279997</v>
      </c>
      <c r="L177">
        <v>131.78539860000001</v>
      </c>
      <c r="M177" s="5">
        <f>Table1[[#This Row],[AAPL.Close]] -Table1[[#This Row],[AAPL.Open]]</f>
        <v>1.5399929999999955</v>
      </c>
      <c r="N177" s="4">
        <f>(Table1[[#This Row],[AAPL.Close]] - Table1[[#This Row],[AAPL.Open]]) /Table1[[#This Row],[AAPL.Open]]</f>
        <v>1.2086908026468593E-2</v>
      </c>
      <c r="O177" s="4" t="str">
        <f>IF(Table1[[#This Row],[AAPL.Close]] &gt; Table1[[#This Row],[AAPL.Open]], "Up", "Down")</f>
        <v>Up</v>
      </c>
      <c r="P177" s="2" t="s">
        <v>10</v>
      </c>
    </row>
    <row r="178" spans="1:16" x14ac:dyDescent="0.35">
      <c r="A178" s="3">
        <v>42139</v>
      </c>
      <c r="B178" s="2" t="str">
        <f>TEXT(Table1[[#This Row],[Date]],"mmm")</f>
        <v>May</v>
      </c>
      <c r="C178" s="1">
        <f>YEAR(Table1[[#This Row],[Date]])</f>
        <v>2015</v>
      </c>
      <c r="D178" s="5">
        <v>129.070007</v>
      </c>
      <c r="E178" s="5">
        <v>129.490005</v>
      </c>
      <c r="F178" s="5">
        <v>128.21000699999999</v>
      </c>
      <c r="G178" s="5">
        <v>128.770004</v>
      </c>
      <c r="H178" s="1">
        <v>38208000</v>
      </c>
      <c r="I178">
        <v>124.32620300000001</v>
      </c>
      <c r="J178">
        <v>124.0144574</v>
      </c>
      <c r="K178">
        <v>127.91333330000001</v>
      </c>
      <c r="L178">
        <v>131.81220920000001</v>
      </c>
      <c r="M178" s="5">
        <f>Table1[[#This Row],[AAPL.Close]] -Table1[[#This Row],[AAPL.Open]]</f>
        <v>-0.30000300000000379</v>
      </c>
      <c r="N178" s="4">
        <f>(Table1[[#This Row],[AAPL.Close]] - Table1[[#This Row],[AAPL.Open]]) /Table1[[#This Row],[AAPL.Open]]</f>
        <v>-2.3243432535027583E-3</v>
      </c>
      <c r="O178" s="4" t="str">
        <f>IF(Table1[[#This Row],[AAPL.Close]] &gt; Table1[[#This Row],[AAPL.Open]], "Up", "Down")</f>
        <v>Down</v>
      </c>
      <c r="P178" s="2" t="s">
        <v>11</v>
      </c>
    </row>
    <row r="179" spans="1:16" x14ac:dyDescent="0.35">
      <c r="A179" s="3">
        <v>42142</v>
      </c>
      <c r="B179" s="2" t="str">
        <f>TEXT(Table1[[#This Row],[Date]],"mmm")</f>
        <v>May</v>
      </c>
      <c r="C179" s="1">
        <f>YEAR(Table1[[#This Row],[Date]])</f>
        <v>2015</v>
      </c>
      <c r="D179" s="5">
        <v>128.38000500000001</v>
      </c>
      <c r="E179" s="5">
        <v>130.720001</v>
      </c>
      <c r="F179" s="5">
        <v>128.36000100000001</v>
      </c>
      <c r="G179" s="5">
        <v>130.19000199999999</v>
      </c>
      <c r="H179" s="1">
        <v>50882900</v>
      </c>
      <c r="I179">
        <v>125.697198</v>
      </c>
      <c r="J179">
        <v>124.100497</v>
      </c>
      <c r="K179">
        <v>128.05300020000001</v>
      </c>
      <c r="L179">
        <v>132.00550329999999</v>
      </c>
      <c r="M179" s="5">
        <f>Table1[[#This Row],[AAPL.Close]] -Table1[[#This Row],[AAPL.Open]]</f>
        <v>1.8099969999999814</v>
      </c>
      <c r="N179" s="4">
        <f>(Table1[[#This Row],[AAPL.Close]] - Table1[[#This Row],[AAPL.Open]]) /Table1[[#This Row],[AAPL.Open]]</f>
        <v>1.4098745361475732E-2</v>
      </c>
      <c r="O179" s="4" t="str">
        <f>IF(Table1[[#This Row],[AAPL.Close]] &gt; Table1[[#This Row],[AAPL.Open]], "Up", "Down")</f>
        <v>Up</v>
      </c>
      <c r="P179" s="2" t="s">
        <v>10</v>
      </c>
    </row>
    <row r="180" spans="1:16" x14ac:dyDescent="0.35">
      <c r="A180" s="3">
        <v>42143</v>
      </c>
      <c r="B180" s="2" t="str">
        <f>TEXT(Table1[[#This Row],[Date]],"mmm")</f>
        <v>May</v>
      </c>
      <c r="C180" s="1">
        <f>YEAR(Table1[[#This Row],[Date]])</f>
        <v>2015</v>
      </c>
      <c r="D180" s="5">
        <v>130.69000199999999</v>
      </c>
      <c r="E180" s="5">
        <v>130.88000500000001</v>
      </c>
      <c r="F180" s="5">
        <v>129.63999899999999</v>
      </c>
      <c r="G180" s="5">
        <v>130.070007</v>
      </c>
      <c r="H180" s="1">
        <v>44633200</v>
      </c>
      <c r="I180">
        <v>125.581344</v>
      </c>
      <c r="J180">
        <v>124.15887650000001</v>
      </c>
      <c r="K180">
        <v>128.1998337</v>
      </c>
      <c r="L180">
        <v>132.24079090000001</v>
      </c>
      <c r="M180" s="5">
        <f>Table1[[#This Row],[AAPL.Close]] -Table1[[#This Row],[AAPL.Open]]</f>
        <v>-0.61999499999998875</v>
      </c>
      <c r="N180" s="4">
        <f>(Table1[[#This Row],[AAPL.Close]] - Table1[[#This Row],[AAPL.Open]]) /Table1[[#This Row],[AAPL.Open]]</f>
        <v>-4.7440124761799971E-3</v>
      </c>
      <c r="O180" s="4" t="str">
        <f>IF(Table1[[#This Row],[AAPL.Close]] &gt; Table1[[#This Row],[AAPL.Open]], "Up", "Down")</f>
        <v>Down</v>
      </c>
      <c r="P180" s="2" t="s">
        <v>11</v>
      </c>
    </row>
    <row r="181" spans="1:16" x14ac:dyDescent="0.35">
      <c r="A181" s="3">
        <v>42144</v>
      </c>
      <c r="B181" s="2" t="str">
        <f>TEXT(Table1[[#This Row],[Date]],"mmm")</f>
        <v>May</v>
      </c>
      <c r="C181" s="1">
        <f>YEAR(Table1[[#This Row],[Date]])</f>
        <v>2015</v>
      </c>
      <c r="D181" s="5">
        <v>130</v>
      </c>
      <c r="E181" s="5">
        <v>130.979996</v>
      </c>
      <c r="F181" s="5">
        <v>129.33999600000001</v>
      </c>
      <c r="G181" s="5">
        <v>130.05999800000001</v>
      </c>
      <c r="H181" s="1">
        <v>36454900</v>
      </c>
      <c r="I181">
        <v>125.571679</v>
      </c>
      <c r="J181">
        <v>124.1850087</v>
      </c>
      <c r="K181">
        <v>128.3093337</v>
      </c>
      <c r="L181">
        <v>132.4336587</v>
      </c>
      <c r="M181" s="5">
        <f>Table1[[#This Row],[AAPL.Close]] -Table1[[#This Row],[AAPL.Open]]</f>
        <v>5.9998000000007323E-2</v>
      </c>
      <c r="N181" s="4">
        <f>(Table1[[#This Row],[AAPL.Close]] - Table1[[#This Row],[AAPL.Open]]) /Table1[[#This Row],[AAPL.Open]]</f>
        <v>4.6152307692313326E-4</v>
      </c>
      <c r="O181" s="4" t="str">
        <f>IF(Table1[[#This Row],[AAPL.Close]] &gt; Table1[[#This Row],[AAPL.Open]], "Up", "Down")</f>
        <v>Up</v>
      </c>
      <c r="P181" s="2" t="s">
        <v>10</v>
      </c>
    </row>
    <row r="182" spans="1:16" x14ac:dyDescent="0.35">
      <c r="A182" s="3">
        <v>42145</v>
      </c>
      <c r="B182" s="2" t="str">
        <f>TEXT(Table1[[#This Row],[Date]],"mmm")</f>
        <v>May</v>
      </c>
      <c r="C182" s="1">
        <f>YEAR(Table1[[#This Row],[Date]])</f>
        <v>2015</v>
      </c>
      <c r="D182" s="5">
        <v>130.070007</v>
      </c>
      <c r="E182" s="5">
        <v>131.63000500000001</v>
      </c>
      <c r="F182" s="5">
        <v>129.83000200000001</v>
      </c>
      <c r="G182" s="5">
        <v>131.38999899999999</v>
      </c>
      <c r="H182" s="1">
        <v>39730400</v>
      </c>
      <c r="I182">
        <v>126.855783</v>
      </c>
      <c r="J182">
        <v>124.12738160000001</v>
      </c>
      <c r="K182">
        <v>128.38633390000001</v>
      </c>
      <c r="L182">
        <v>132.64528609999999</v>
      </c>
      <c r="M182" s="5">
        <f>Table1[[#This Row],[AAPL.Close]] -Table1[[#This Row],[AAPL.Open]]</f>
        <v>1.319991999999985</v>
      </c>
      <c r="N182" s="4">
        <f>(Table1[[#This Row],[AAPL.Close]] - Table1[[#This Row],[AAPL.Open]]) /Table1[[#This Row],[AAPL.Open]]</f>
        <v>1.0148319589157745E-2</v>
      </c>
      <c r="O182" s="4" t="str">
        <f>IF(Table1[[#This Row],[AAPL.Close]] &gt; Table1[[#This Row],[AAPL.Open]], "Up", "Down")</f>
        <v>Up</v>
      </c>
      <c r="P182" s="2" t="s">
        <v>10</v>
      </c>
    </row>
    <row r="183" spans="1:16" x14ac:dyDescent="0.35">
      <c r="A183" s="3">
        <v>42146</v>
      </c>
      <c r="B183" s="2" t="str">
        <f>TEXT(Table1[[#This Row],[Date]],"mmm")</f>
        <v>May</v>
      </c>
      <c r="C183" s="1">
        <f>YEAR(Table1[[#This Row],[Date]])</f>
        <v>2015</v>
      </c>
      <c r="D183" s="5">
        <v>131.60000600000001</v>
      </c>
      <c r="E183" s="5">
        <v>132.970001</v>
      </c>
      <c r="F183" s="5">
        <v>131.39999399999999</v>
      </c>
      <c r="G183" s="5">
        <v>132.53999300000001</v>
      </c>
      <c r="H183" s="1">
        <v>45596000</v>
      </c>
      <c r="I183">
        <v>127.96609100000001</v>
      </c>
      <c r="J183">
        <v>123.9598963</v>
      </c>
      <c r="K183">
        <v>128.499167</v>
      </c>
      <c r="L183">
        <v>133.0384377</v>
      </c>
      <c r="M183" s="5">
        <f>Table1[[#This Row],[AAPL.Close]] -Table1[[#This Row],[AAPL.Open]]</f>
        <v>0.93998700000000213</v>
      </c>
      <c r="N183" s="4">
        <f>(Table1[[#This Row],[AAPL.Close]] - Table1[[#This Row],[AAPL.Open]]) /Table1[[#This Row],[AAPL.Open]]</f>
        <v>7.1427580330049685E-3</v>
      </c>
      <c r="O183" s="4" t="str">
        <f>IF(Table1[[#This Row],[AAPL.Close]] &gt; Table1[[#This Row],[AAPL.Open]], "Up", "Down")</f>
        <v>Up</v>
      </c>
      <c r="P183" s="2" t="s">
        <v>10</v>
      </c>
    </row>
    <row r="184" spans="1:16" x14ac:dyDescent="0.35">
      <c r="A184" s="3">
        <v>42150</v>
      </c>
      <c r="B184" s="2" t="str">
        <f>TEXT(Table1[[#This Row],[Date]],"mmm")</f>
        <v>May</v>
      </c>
      <c r="C184" s="1">
        <f>YEAR(Table1[[#This Row],[Date]])</f>
        <v>2015</v>
      </c>
      <c r="D184" s="5">
        <v>132.60000600000001</v>
      </c>
      <c r="E184" s="5">
        <v>132.91000399999999</v>
      </c>
      <c r="F184" s="5">
        <v>129.11999499999999</v>
      </c>
      <c r="G184" s="5">
        <v>129.61999499999999</v>
      </c>
      <c r="H184" s="1">
        <v>70697600</v>
      </c>
      <c r="I184">
        <v>125.146861</v>
      </c>
      <c r="J184">
        <v>124.10876089999999</v>
      </c>
      <c r="K184">
        <v>128.41116700000001</v>
      </c>
      <c r="L184">
        <v>132.71357309999999</v>
      </c>
      <c r="M184" s="5">
        <f>Table1[[#This Row],[AAPL.Close]] -Table1[[#This Row],[AAPL.Open]]</f>
        <v>-2.9800110000000188</v>
      </c>
      <c r="N184" s="4">
        <f>(Table1[[#This Row],[AAPL.Close]] - Table1[[#This Row],[AAPL.Open]]) /Table1[[#This Row],[AAPL.Open]]</f>
        <v>-2.2473686765896669E-2</v>
      </c>
      <c r="O184" s="4" t="str">
        <f>IF(Table1[[#This Row],[AAPL.Close]] &gt; Table1[[#This Row],[AAPL.Open]], "Up", "Down")</f>
        <v>Down</v>
      </c>
      <c r="P184" s="2" t="s">
        <v>11</v>
      </c>
    </row>
    <row r="185" spans="1:16" x14ac:dyDescent="0.35">
      <c r="A185" s="3">
        <v>42151</v>
      </c>
      <c r="B185" s="2" t="str">
        <f>TEXT(Table1[[#This Row],[Date]],"mmm")</f>
        <v>May</v>
      </c>
      <c r="C185" s="1">
        <f>YEAR(Table1[[#This Row],[Date]])</f>
        <v>2015</v>
      </c>
      <c r="D185" s="5">
        <v>130.33999600000001</v>
      </c>
      <c r="E185" s="5">
        <v>132.259995</v>
      </c>
      <c r="F185" s="5">
        <v>130.050003</v>
      </c>
      <c r="G185" s="5">
        <v>132.03999300000001</v>
      </c>
      <c r="H185" s="1">
        <v>45833200</v>
      </c>
      <c r="I185">
        <v>127.483346</v>
      </c>
      <c r="J185">
        <v>124.1188009</v>
      </c>
      <c r="K185">
        <v>128.40583359999999</v>
      </c>
      <c r="L185">
        <v>132.69286629999999</v>
      </c>
      <c r="M185" s="5">
        <f>Table1[[#This Row],[AAPL.Close]] -Table1[[#This Row],[AAPL.Open]]</f>
        <v>1.6999969999999962</v>
      </c>
      <c r="N185" s="4">
        <f>(Table1[[#This Row],[AAPL.Close]] - Table1[[#This Row],[AAPL.Open]]) /Table1[[#This Row],[AAPL.Open]]</f>
        <v>1.3042788492950361E-2</v>
      </c>
      <c r="O185" s="4" t="str">
        <f>IF(Table1[[#This Row],[AAPL.Close]] &gt; Table1[[#This Row],[AAPL.Open]], "Up", "Down")</f>
        <v>Up</v>
      </c>
      <c r="P185" s="2" t="s">
        <v>10</v>
      </c>
    </row>
    <row r="186" spans="1:16" x14ac:dyDescent="0.35">
      <c r="A186" s="3">
        <v>42152</v>
      </c>
      <c r="B186" s="2" t="str">
        <f>TEXT(Table1[[#This Row],[Date]],"mmm")</f>
        <v>May</v>
      </c>
      <c r="C186" s="1">
        <f>YEAR(Table1[[#This Row],[Date]])</f>
        <v>2015</v>
      </c>
      <c r="D186" s="5">
        <v>131.86000100000001</v>
      </c>
      <c r="E186" s="5">
        <v>131.949997</v>
      </c>
      <c r="F186" s="5">
        <v>131.10000600000001</v>
      </c>
      <c r="G186" s="5">
        <v>131.779999</v>
      </c>
      <c r="H186" s="1">
        <v>30733300</v>
      </c>
      <c r="I186">
        <v>127.23232400000001</v>
      </c>
      <c r="J186">
        <v>124.0226213</v>
      </c>
      <c r="K186">
        <v>128.51083370000001</v>
      </c>
      <c r="L186">
        <v>132.99904599999999</v>
      </c>
      <c r="M186" s="5">
        <f>Table1[[#This Row],[AAPL.Close]] -Table1[[#This Row],[AAPL.Open]]</f>
        <v>-8.0002000000007456E-2</v>
      </c>
      <c r="N186" s="4">
        <f>(Table1[[#This Row],[AAPL.Close]] - Table1[[#This Row],[AAPL.Open]]) /Table1[[#This Row],[AAPL.Open]]</f>
        <v>-6.0671924308575923E-4</v>
      </c>
      <c r="O186" s="4" t="str">
        <f>IF(Table1[[#This Row],[AAPL.Close]] &gt; Table1[[#This Row],[AAPL.Open]], "Up", "Down")</f>
        <v>Down</v>
      </c>
      <c r="P186" s="2" t="s">
        <v>11</v>
      </c>
    </row>
    <row r="187" spans="1:16" x14ac:dyDescent="0.35">
      <c r="A187" s="3">
        <v>42153</v>
      </c>
      <c r="B187" s="2" t="str">
        <f>TEXT(Table1[[#This Row],[Date]],"mmm")</f>
        <v>May</v>
      </c>
      <c r="C187" s="1">
        <f>YEAR(Table1[[#This Row],[Date]])</f>
        <v>2015</v>
      </c>
      <c r="D187" s="5">
        <v>131.229996</v>
      </c>
      <c r="E187" s="5">
        <v>131.449997</v>
      </c>
      <c r="F187" s="5">
        <v>129.89999399999999</v>
      </c>
      <c r="G187" s="5">
        <v>130.279999</v>
      </c>
      <c r="H187" s="1">
        <v>50884500</v>
      </c>
      <c r="I187">
        <v>125.784088</v>
      </c>
      <c r="J187">
        <v>124.300709</v>
      </c>
      <c r="K187">
        <v>128.7318334</v>
      </c>
      <c r="L187">
        <v>133.16295790000001</v>
      </c>
      <c r="M187" s="5">
        <f>Table1[[#This Row],[AAPL.Close]] -Table1[[#This Row],[AAPL.Open]]</f>
        <v>-0.94999699999999621</v>
      </c>
      <c r="N187" s="4">
        <f>(Table1[[#This Row],[AAPL.Close]] - Table1[[#This Row],[AAPL.Open]]) /Table1[[#This Row],[AAPL.Open]]</f>
        <v>-7.2391757140646126E-3</v>
      </c>
      <c r="O187" s="4" t="str">
        <f>IF(Table1[[#This Row],[AAPL.Close]] &gt; Table1[[#This Row],[AAPL.Open]], "Up", "Down")</f>
        <v>Down</v>
      </c>
      <c r="P187" s="2" t="s">
        <v>11</v>
      </c>
    </row>
    <row r="188" spans="1:16" x14ac:dyDescent="0.35">
      <c r="A188" s="3">
        <v>42492</v>
      </c>
      <c r="B188" s="2" t="str">
        <f>TEXT(Table1[[#This Row],[Date]],"mmm")</f>
        <v>May</v>
      </c>
      <c r="C188" s="1">
        <f>YEAR(Table1[[#This Row],[Date]])</f>
        <v>2016</v>
      </c>
      <c r="D188" s="5">
        <v>93.970000999999996</v>
      </c>
      <c r="E188" s="5">
        <v>94.080001999999993</v>
      </c>
      <c r="F188" s="5">
        <v>92.400002000000001</v>
      </c>
      <c r="G188" s="5">
        <v>93.639999000000003</v>
      </c>
      <c r="H188" s="1">
        <v>48160100</v>
      </c>
      <c r="I188">
        <v>91.701408000000001</v>
      </c>
      <c r="J188">
        <v>94.192291080000004</v>
      </c>
      <c r="K188">
        <v>105.7628338</v>
      </c>
      <c r="L188">
        <v>117.33337640000001</v>
      </c>
      <c r="M188" s="5">
        <f>Table1[[#This Row],[AAPL.Close]] -Table1[[#This Row],[AAPL.Open]]</f>
        <v>-0.33000199999999325</v>
      </c>
      <c r="N188" s="4">
        <f>(Table1[[#This Row],[AAPL.Close]] - Table1[[#This Row],[AAPL.Open]]) /Table1[[#This Row],[AAPL.Open]]</f>
        <v>-3.511780318061221E-3</v>
      </c>
      <c r="O188" s="4" t="str">
        <f>IF(Table1[[#This Row],[AAPL.Close]] &gt; Table1[[#This Row],[AAPL.Open]], "Up", "Down")</f>
        <v>Down</v>
      </c>
      <c r="P188" s="2" t="s">
        <v>11</v>
      </c>
    </row>
    <row r="189" spans="1:16" x14ac:dyDescent="0.35">
      <c r="A189" s="3">
        <v>42493</v>
      </c>
      <c r="B189" s="2" t="str">
        <f>TEXT(Table1[[#This Row],[Date]],"mmm")</f>
        <v>May</v>
      </c>
      <c r="C189" s="1">
        <f>YEAR(Table1[[#This Row],[Date]])</f>
        <v>2016</v>
      </c>
      <c r="D189" s="5">
        <v>94.199996999999996</v>
      </c>
      <c r="E189" s="5">
        <v>95.739998</v>
      </c>
      <c r="F189" s="5">
        <v>93.68</v>
      </c>
      <c r="G189" s="5">
        <v>95.18</v>
      </c>
      <c r="H189" s="1">
        <v>56831300</v>
      </c>
      <c r="I189">
        <v>93.209526999999994</v>
      </c>
      <c r="J189">
        <v>92.687399670000005</v>
      </c>
      <c r="K189">
        <v>105.0068337</v>
      </c>
      <c r="L189">
        <v>117.3262678</v>
      </c>
      <c r="M189" s="5">
        <f>Table1[[#This Row],[AAPL.Close]] -Table1[[#This Row],[AAPL.Open]]</f>
        <v>0.98000300000001062</v>
      </c>
      <c r="N189" s="4">
        <f>(Table1[[#This Row],[AAPL.Close]] - Table1[[#This Row],[AAPL.Open]]) /Table1[[#This Row],[AAPL.Open]]</f>
        <v>1.0403429206054122E-2</v>
      </c>
      <c r="O189" s="4" t="str">
        <f>IF(Table1[[#This Row],[AAPL.Close]] &gt; Table1[[#This Row],[AAPL.Open]], "Up", "Down")</f>
        <v>Up</v>
      </c>
      <c r="P189" s="2" t="s">
        <v>10</v>
      </c>
    </row>
    <row r="190" spans="1:16" x14ac:dyDescent="0.35">
      <c r="A190" s="3">
        <v>42494</v>
      </c>
      <c r="B190" s="2" t="str">
        <f>TEXT(Table1[[#This Row],[Date]],"mmm")</f>
        <v>May</v>
      </c>
      <c r="C190" s="1">
        <f>YEAR(Table1[[#This Row],[Date]])</f>
        <v>2016</v>
      </c>
      <c r="D190" s="5">
        <v>95.199996999999996</v>
      </c>
      <c r="E190" s="5">
        <v>95.900002000000001</v>
      </c>
      <c r="F190" s="5">
        <v>93.82</v>
      </c>
      <c r="G190" s="5">
        <v>94.190002000000007</v>
      </c>
      <c r="H190" s="1">
        <v>41025500</v>
      </c>
      <c r="I190">
        <v>92.240024000000005</v>
      </c>
      <c r="J190">
        <v>91.373507579999995</v>
      </c>
      <c r="K190">
        <v>104.2196672</v>
      </c>
      <c r="L190">
        <v>117.0658267</v>
      </c>
      <c r="M190" s="5">
        <f>Table1[[#This Row],[AAPL.Close]] -Table1[[#This Row],[AAPL.Open]]</f>
        <v>-1.0099949999999893</v>
      </c>
      <c r="N190" s="4">
        <f>(Table1[[#This Row],[AAPL.Close]] - Table1[[#This Row],[AAPL.Open]]) /Table1[[#This Row],[AAPL.Open]]</f>
        <v>-1.0609191510793738E-2</v>
      </c>
      <c r="O190" s="4" t="str">
        <f>IF(Table1[[#This Row],[AAPL.Close]] &gt; Table1[[#This Row],[AAPL.Open]], "Up", "Down")</f>
        <v>Down</v>
      </c>
      <c r="P190" s="2" t="s">
        <v>11</v>
      </c>
    </row>
    <row r="191" spans="1:16" x14ac:dyDescent="0.35">
      <c r="A191" s="3">
        <v>42495</v>
      </c>
      <c r="B191" s="2" t="str">
        <f>TEXT(Table1[[#This Row],[Date]],"mmm")</f>
        <v>May</v>
      </c>
      <c r="C191" s="1">
        <f>YEAR(Table1[[#This Row],[Date]])</f>
        <v>2016</v>
      </c>
      <c r="D191" s="5">
        <v>94</v>
      </c>
      <c r="E191" s="5">
        <v>94.07</v>
      </c>
      <c r="F191" s="5">
        <v>92.68</v>
      </c>
      <c r="G191" s="5">
        <v>93.239998</v>
      </c>
      <c r="H191" s="1">
        <v>35890500</v>
      </c>
      <c r="I191">
        <v>91.865624999999994</v>
      </c>
      <c r="J191">
        <v>89.956870820000006</v>
      </c>
      <c r="K191">
        <v>103.43483380000001</v>
      </c>
      <c r="L191">
        <v>116.9127967</v>
      </c>
      <c r="M191" s="5">
        <f>Table1[[#This Row],[AAPL.Close]] -Table1[[#This Row],[AAPL.Open]]</f>
        <v>-0.76000200000000007</v>
      </c>
      <c r="N191" s="4">
        <f>(Table1[[#This Row],[AAPL.Close]] - Table1[[#This Row],[AAPL.Open]]) /Table1[[#This Row],[AAPL.Open]]</f>
        <v>-8.0851276595744689E-3</v>
      </c>
      <c r="O191" s="4" t="str">
        <f>IF(Table1[[#This Row],[AAPL.Close]] &gt; Table1[[#This Row],[AAPL.Open]], "Up", "Down")</f>
        <v>Down</v>
      </c>
      <c r="P191" s="2" t="s">
        <v>11</v>
      </c>
    </row>
    <row r="192" spans="1:16" x14ac:dyDescent="0.35">
      <c r="A192" s="3">
        <v>42496</v>
      </c>
      <c r="B192" s="2" t="str">
        <f>TEXT(Table1[[#This Row],[Date]],"mmm")</f>
        <v>May</v>
      </c>
      <c r="C192" s="1">
        <f>YEAR(Table1[[#This Row],[Date]])</f>
        <v>2016</v>
      </c>
      <c r="D192" s="5">
        <v>93.370002999999997</v>
      </c>
      <c r="E192" s="5">
        <v>93.449996999999996</v>
      </c>
      <c r="F192" s="5">
        <v>91.849997999999999</v>
      </c>
      <c r="G192" s="5">
        <v>92.720000999999996</v>
      </c>
      <c r="H192" s="1">
        <v>43458200</v>
      </c>
      <c r="I192">
        <v>91.353292999999994</v>
      </c>
      <c r="J192">
        <v>88.614661440000006</v>
      </c>
      <c r="K192">
        <v>102.625167</v>
      </c>
      <c r="L192">
        <v>116.63567260000001</v>
      </c>
      <c r="M192" s="5">
        <f>Table1[[#This Row],[AAPL.Close]] -Table1[[#This Row],[AAPL.Open]]</f>
        <v>-0.65000200000000063</v>
      </c>
      <c r="N192" s="4">
        <f>(Table1[[#This Row],[AAPL.Close]] - Table1[[#This Row],[AAPL.Open]]) /Table1[[#This Row],[AAPL.Open]]</f>
        <v>-6.9615720158004131E-3</v>
      </c>
      <c r="O192" s="4" t="str">
        <f>IF(Table1[[#This Row],[AAPL.Close]] &gt; Table1[[#This Row],[AAPL.Open]], "Up", "Down")</f>
        <v>Down</v>
      </c>
      <c r="P192" s="2" t="s">
        <v>11</v>
      </c>
    </row>
    <row r="193" spans="1:16" x14ac:dyDescent="0.35">
      <c r="A193" s="3">
        <v>42499</v>
      </c>
      <c r="B193" s="2" t="str">
        <f>TEXT(Table1[[#This Row],[Date]],"mmm")</f>
        <v>May</v>
      </c>
      <c r="C193" s="1">
        <f>YEAR(Table1[[#This Row],[Date]])</f>
        <v>2016</v>
      </c>
      <c r="D193" s="5">
        <v>93</v>
      </c>
      <c r="E193" s="5">
        <v>93.769997000000004</v>
      </c>
      <c r="F193" s="5">
        <v>92.589995999999999</v>
      </c>
      <c r="G193" s="5">
        <v>92.790001000000004</v>
      </c>
      <c r="H193" s="1">
        <v>32936400</v>
      </c>
      <c r="I193">
        <v>91.422261000000006</v>
      </c>
      <c r="J193">
        <v>87.572614599999994</v>
      </c>
      <c r="K193">
        <v>101.8033336</v>
      </c>
      <c r="L193">
        <v>116.0340526</v>
      </c>
      <c r="M193" s="5">
        <f>Table1[[#This Row],[AAPL.Close]] -Table1[[#This Row],[AAPL.Open]]</f>
        <v>-0.20999899999999627</v>
      </c>
      <c r="N193" s="4">
        <f>(Table1[[#This Row],[AAPL.Close]] - Table1[[#This Row],[AAPL.Open]]) /Table1[[#This Row],[AAPL.Open]]</f>
        <v>-2.25805376344082E-3</v>
      </c>
      <c r="O193" s="4" t="str">
        <f>IF(Table1[[#This Row],[AAPL.Close]] &gt; Table1[[#This Row],[AAPL.Open]], "Up", "Down")</f>
        <v>Down</v>
      </c>
      <c r="P193" s="2" t="s">
        <v>11</v>
      </c>
    </row>
    <row r="194" spans="1:16" x14ac:dyDescent="0.35">
      <c r="A194" s="3">
        <v>42500</v>
      </c>
      <c r="B194" s="2" t="str">
        <f>TEXT(Table1[[#This Row],[Date]],"mmm")</f>
        <v>May</v>
      </c>
      <c r="C194" s="1">
        <f>YEAR(Table1[[#This Row],[Date]])</f>
        <v>2016</v>
      </c>
      <c r="D194" s="5">
        <v>93.330001999999993</v>
      </c>
      <c r="E194" s="5">
        <v>93.57</v>
      </c>
      <c r="F194" s="5">
        <v>92.110000999999997</v>
      </c>
      <c r="G194" s="5">
        <v>93.419998000000007</v>
      </c>
      <c r="H194" s="1">
        <v>33686800</v>
      </c>
      <c r="I194">
        <v>92.042972000000006</v>
      </c>
      <c r="J194">
        <v>86.746925919999995</v>
      </c>
      <c r="K194">
        <v>100.9616668</v>
      </c>
      <c r="L194">
        <v>115.1764077</v>
      </c>
      <c r="M194" s="5">
        <f>Table1[[#This Row],[AAPL.Close]] -Table1[[#This Row],[AAPL.Open]]</f>
        <v>8.999600000001351E-2</v>
      </c>
      <c r="N194" s="4">
        <f>(Table1[[#This Row],[AAPL.Close]] - Table1[[#This Row],[AAPL.Open]]) /Table1[[#This Row],[AAPL.Open]]</f>
        <v>9.6427727495402302E-4</v>
      </c>
      <c r="O194" s="4" t="str">
        <f>IF(Table1[[#This Row],[AAPL.Close]] &gt; Table1[[#This Row],[AAPL.Open]], "Up", "Down")</f>
        <v>Up</v>
      </c>
      <c r="P194" s="2" t="s">
        <v>10</v>
      </c>
    </row>
    <row r="195" spans="1:16" x14ac:dyDescent="0.35">
      <c r="A195" s="3">
        <v>42501</v>
      </c>
      <c r="B195" s="2" t="str">
        <f>TEXT(Table1[[#This Row],[Date]],"mmm")</f>
        <v>May</v>
      </c>
      <c r="C195" s="1">
        <f>YEAR(Table1[[#This Row],[Date]])</f>
        <v>2016</v>
      </c>
      <c r="D195" s="5">
        <v>93.480002999999996</v>
      </c>
      <c r="E195" s="5">
        <v>93.57</v>
      </c>
      <c r="F195" s="5">
        <v>92.459998999999996</v>
      </c>
      <c r="G195" s="5">
        <v>92.510002</v>
      </c>
      <c r="H195" s="1">
        <v>28719100</v>
      </c>
      <c r="I195">
        <v>91.146388999999999</v>
      </c>
      <c r="J195">
        <v>86.288576730000003</v>
      </c>
      <c r="K195">
        <v>100.0176668</v>
      </c>
      <c r="L195">
        <v>113.74675689999999</v>
      </c>
      <c r="M195" s="5">
        <f>Table1[[#This Row],[AAPL.Close]] -Table1[[#This Row],[AAPL.Open]]</f>
        <v>-0.97000099999999634</v>
      </c>
      <c r="N195" s="4">
        <f>(Table1[[#This Row],[AAPL.Close]] - Table1[[#This Row],[AAPL.Open]]) /Table1[[#This Row],[AAPL.Open]]</f>
        <v>-1.0376561498398716E-2</v>
      </c>
      <c r="O195" s="4" t="str">
        <f>IF(Table1[[#This Row],[AAPL.Close]] &gt; Table1[[#This Row],[AAPL.Open]], "Up", "Down")</f>
        <v>Down</v>
      </c>
      <c r="P195" s="2" t="s">
        <v>11</v>
      </c>
    </row>
    <row r="196" spans="1:16" x14ac:dyDescent="0.35">
      <c r="A196" s="3">
        <v>42502</v>
      </c>
      <c r="B196" s="2" t="str">
        <f>TEXT(Table1[[#This Row],[Date]],"mmm")</f>
        <v>May</v>
      </c>
      <c r="C196" s="1">
        <f>YEAR(Table1[[#This Row],[Date]])</f>
        <v>2016</v>
      </c>
      <c r="D196" s="5">
        <v>92.720000999999996</v>
      </c>
      <c r="E196" s="5">
        <v>92.779999000000004</v>
      </c>
      <c r="F196" s="5">
        <v>89.470000999999996</v>
      </c>
      <c r="G196" s="5">
        <v>90.339995999999999</v>
      </c>
      <c r="H196" s="1">
        <v>76314700</v>
      </c>
      <c r="I196">
        <v>89.008369999999999</v>
      </c>
      <c r="J196">
        <v>85.834567629999995</v>
      </c>
      <c r="K196">
        <v>98.963833449999996</v>
      </c>
      <c r="L196">
        <v>112.09309930000001</v>
      </c>
      <c r="M196" s="5">
        <f>Table1[[#This Row],[AAPL.Close]] -Table1[[#This Row],[AAPL.Open]]</f>
        <v>-2.380004999999997</v>
      </c>
      <c r="N196" s="4">
        <f>(Table1[[#This Row],[AAPL.Close]] - Table1[[#This Row],[AAPL.Open]]) /Table1[[#This Row],[AAPL.Open]]</f>
        <v>-2.566873354541915E-2</v>
      </c>
      <c r="O196" s="4" t="str">
        <f>IF(Table1[[#This Row],[AAPL.Close]] &gt; Table1[[#This Row],[AAPL.Open]], "Up", "Down")</f>
        <v>Down</v>
      </c>
      <c r="P196" s="2" t="s">
        <v>11</v>
      </c>
    </row>
    <row r="197" spans="1:16" x14ac:dyDescent="0.35">
      <c r="A197" s="3">
        <v>42503</v>
      </c>
      <c r="B197" s="2" t="str">
        <f>TEXT(Table1[[#This Row],[Date]],"mmm")</f>
        <v>May</v>
      </c>
      <c r="C197" s="1">
        <f>YEAR(Table1[[#This Row],[Date]])</f>
        <v>2016</v>
      </c>
      <c r="D197" s="5">
        <v>90</v>
      </c>
      <c r="E197" s="5">
        <v>91.669998000000007</v>
      </c>
      <c r="F197" s="5">
        <v>90</v>
      </c>
      <c r="G197" s="5">
        <v>90.519997000000004</v>
      </c>
      <c r="H197" s="1">
        <v>44392800</v>
      </c>
      <c r="I197">
        <v>89.185716999999997</v>
      </c>
      <c r="J197">
        <v>85.528191609999993</v>
      </c>
      <c r="K197">
        <v>97.968999969999999</v>
      </c>
      <c r="L197">
        <v>110.40980829999999</v>
      </c>
      <c r="M197" s="5">
        <f>Table1[[#This Row],[AAPL.Close]] -Table1[[#This Row],[AAPL.Open]]</f>
        <v>0.5199970000000036</v>
      </c>
      <c r="N197" s="4">
        <f>(Table1[[#This Row],[AAPL.Close]] - Table1[[#This Row],[AAPL.Open]]) /Table1[[#This Row],[AAPL.Open]]</f>
        <v>5.7777444444444843E-3</v>
      </c>
      <c r="O197" s="4" t="str">
        <f>IF(Table1[[#This Row],[AAPL.Close]] &gt; Table1[[#This Row],[AAPL.Open]], "Up", "Down")</f>
        <v>Up</v>
      </c>
      <c r="P197" s="2" t="s">
        <v>10</v>
      </c>
    </row>
    <row r="198" spans="1:16" x14ac:dyDescent="0.35">
      <c r="A198" s="3">
        <v>42506</v>
      </c>
      <c r="B198" s="2" t="str">
        <f>TEXT(Table1[[#This Row],[Date]],"mmm")</f>
        <v>May</v>
      </c>
      <c r="C198" s="1">
        <f>YEAR(Table1[[#This Row],[Date]])</f>
        <v>2016</v>
      </c>
      <c r="D198" s="5">
        <v>92.389999000000003</v>
      </c>
      <c r="E198" s="5">
        <v>94.389999000000003</v>
      </c>
      <c r="F198" s="5">
        <v>91.650002000000001</v>
      </c>
      <c r="G198" s="5">
        <v>93.879997000000003</v>
      </c>
      <c r="H198" s="1">
        <v>61259800</v>
      </c>
      <c r="I198">
        <v>92.496189999999999</v>
      </c>
      <c r="J198">
        <v>85.508858480000001</v>
      </c>
      <c r="K198">
        <v>97.244833229999998</v>
      </c>
      <c r="L198">
        <v>108.980808</v>
      </c>
      <c r="M198" s="5">
        <f>Table1[[#This Row],[AAPL.Close]] -Table1[[#This Row],[AAPL.Open]]</f>
        <v>1.4899979999999999</v>
      </c>
      <c r="N198" s="4">
        <f>(Table1[[#This Row],[AAPL.Close]] - Table1[[#This Row],[AAPL.Open]]) /Table1[[#This Row],[AAPL.Open]]</f>
        <v>1.6127265030060234E-2</v>
      </c>
      <c r="O198" s="4" t="str">
        <f>IF(Table1[[#This Row],[AAPL.Close]] &gt; Table1[[#This Row],[AAPL.Open]], "Up", "Down")</f>
        <v>Up</v>
      </c>
      <c r="P198" s="2" t="s">
        <v>10</v>
      </c>
    </row>
    <row r="199" spans="1:16" x14ac:dyDescent="0.35">
      <c r="A199" s="3">
        <v>42507</v>
      </c>
      <c r="B199" s="2" t="str">
        <f>TEXT(Table1[[#This Row],[Date]],"mmm")</f>
        <v>May</v>
      </c>
      <c r="C199" s="1">
        <f>YEAR(Table1[[#This Row],[Date]])</f>
        <v>2016</v>
      </c>
      <c r="D199" s="5">
        <v>94.550003000000004</v>
      </c>
      <c r="E199" s="5">
        <v>94.699996999999996</v>
      </c>
      <c r="F199" s="5">
        <v>93.010002</v>
      </c>
      <c r="G199" s="5">
        <v>93.489998</v>
      </c>
      <c r="H199" s="1">
        <v>46916900</v>
      </c>
      <c r="I199">
        <v>92.111939000000007</v>
      </c>
      <c r="J199">
        <v>85.660760609999997</v>
      </c>
      <c r="K199">
        <v>96.579166400000005</v>
      </c>
      <c r="L199">
        <v>107.49757219999999</v>
      </c>
      <c r="M199" s="5">
        <f>Table1[[#This Row],[AAPL.Close]] -Table1[[#This Row],[AAPL.Open]]</f>
        <v>-1.0600050000000039</v>
      </c>
      <c r="N199" s="4">
        <f>(Table1[[#This Row],[AAPL.Close]] - Table1[[#This Row],[AAPL.Open]]) /Table1[[#This Row],[AAPL.Open]]</f>
        <v>-1.1211051997534086E-2</v>
      </c>
      <c r="O199" s="4" t="str">
        <f>IF(Table1[[#This Row],[AAPL.Close]] &gt; Table1[[#This Row],[AAPL.Open]], "Up", "Down")</f>
        <v>Down</v>
      </c>
      <c r="P199" s="2" t="s">
        <v>11</v>
      </c>
    </row>
    <row r="200" spans="1:16" x14ac:dyDescent="0.35">
      <c r="A200" s="3">
        <v>42508</v>
      </c>
      <c r="B200" s="2" t="str">
        <f>TEXT(Table1[[#This Row],[Date]],"mmm")</f>
        <v>May</v>
      </c>
      <c r="C200" s="1">
        <f>YEAR(Table1[[#This Row],[Date]])</f>
        <v>2016</v>
      </c>
      <c r="D200" s="5">
        <v>94.160004000000001</v>
      </c>
      <c r="E200" s="5">
        <v>95.209998999999996</v>
      </c>
      <c r="F200" s="5">
        <v>93.889999000000003</v>
      </c>
      <c r="G200" s="5">
        <v>94.559997999999993</v>
      </c>
      <c r="H200" s="1">
        <v>42062400</v>
      </c>
      <c r="I200">
        <v>93.166167000000002</v>
      </c>
      <c r="J200">
        <v>86.136345489999997</v>
      </c>
      <c r="K200">
        <v>95.952166480000002</v>
      </c>
      <c r="L200">
        <v>105.7679875</v>
      </c>
      <c r="M200" s="5">
        <f>Table1[[#This Row],[AAPL.Close]] -Table1[[#This Row],[AAPL.Open]]</f>
        <v>0.39999399999999241</v>
      </c>
      <c r="N200" s="4">
        <f>(Table1[[#This Row],[AAPL.Close]] - Table1[[#This Row],[AAPL.Open]]) /Table1[[#This Row],[AAPL.Open]]</f>
        <v>4.2480244584525758E-3</v>
      </c>
      <c r="O200" s="4" t="str">
        <f>IF(Table1[[#This Row],[AAPL.Close]] &gt; Table1[[#This Row],[AAPL.Open]], "Up", "Down")</f>
        <v>Up</v>
      </c>
      <c r="P200" s="2" t="s">
        <v>10</v>
      </c>
    </row>
    <row r="201" spans="1:16" x14ac:dyDescent="0.35">
      <c r="A201" s="3">
        <v>42509</v>
      </c>
      <c r="B201" s="2" t="str">
        <f>TEXT(Table1[[#This Row],[Date]],"mmm")</f>
        <v>May</v>
      </c>
      <c r="C201" s="1">
        <f>YEAR(Table1[[#This Row],[Date]])</f>
        <v>2016</v>
      </c>
      <c r="D201" s="5">
        <v>94.639999000000003</v>
      </c>
      <c r="E201" s="5">
        <v>94.639999000000003</v>
      </c>
      <c r="F201" s="5">
        <v>93.57</v>
      </c>
      <c r="G201" s="5">
        <v>94.199996999999996</v>
      </c>
      <c r="H201" s="1">
        <v>30442100</v>
      </c>
      <c r="I201">
        <v>92.811473000000007</v>
      </c>
      <c r="J201">
        <v>86.702701390000001</v>
      </c>
      <c r="K201">
        <v>95.35199978</v>
      </c>
      <c r="L201">
        <v>104.00129819999999</v>
      </c>
      <c r="M201" s="5">
        <f>Table1[[#This Row],[AAPL.Close]] -Table1[[#This Row],[AAPL.Open]]</f>
        <v>-0.44000200000000689</v>
      </c>
      <c r="N201" s="4">
        <f>(Table1[[#This Row],[AAPL.Close]] - Table1[[#This Row],[AAPL.Open]]) /Table1[[#This Row],[AAPL.Open]]</f>
        <v>-4.6492181387280751E-3</v>
      </c>
      <c r="O201" s="4" t="str">
        <f>IF(Table1[[#This Row],[AAPL.Close]] &gt; Table1[[#This Row],[AAPL.Open]], "Up", "Down")</f>
        <v>Down</v>
      </c>
      <c r="P201" s="2" t="s">
        <v>11</v>
      </c>
    </row>
    <row r="202" spans="1:16" x14ac:dyDescent="0.35">
      <c r="A202" s="3">
        <v>42510</v>
      </c>
      <c r="B202" s="2" t="str">
        <f>TEXT(Table1[[#This Row],[Date]],"mmm")</f>
        <v>May</v>
      </c>
      <c r="C202" s="1">
        <f>YEAR(Table1[[#This Row],[Date]])</f>
        <v>2016</v>
      </c>
      <c r="D202" s="5">
        <v>94.639999000000003</v>
      </c>
      <c r="E202" s="5">
        <v>95.43</v>
      </c>
      <c r="F202" s="5">
        <v>94.519997000000004</v>
      </c>
      <c r="G202" s="5">
        <v>95.220000999999996</v>
      </c>
      <c r="H202" s="1">
        <v>32026000</v>
      </c>
      <c r="I202">
        <v>93.816441999999995</v>
      </c>
      <c r="J202">
        <v>87.562893779999996</v>
      </c>
      <c r="K202">
        <v>94.825166319999994</v>
      </c>
      <c r="L202">
        <v>102.0874388</v>
      </c>
      <c r="M202" s="5">
        <f>Table1[[#This Row],[AAPL.Close]] -Table1[[#This Row],[AAPL.Open]]</f>
        <v>0.58000199999999325</v>
      </c>
      <c r="N202" s="4">
        <f>(Table1[[#This Row],[AAPL.Close]] - Table1[[#This Row],[AAPL.Open]]) /Table1[[#This Row],[AAPL.Open]]</f>
        <v>6.1285080951870383E-3</v>
      </c>
      <c r="O202" s="4" t="str">
        <f>IF(Table1[[#This Row],[AAPL.Close]] &gt; Table1[[#This Row],[AAPL.Open]], "Up", "Down")</f>
        <v>Up</v>
      </c>
      <c r="P202" s="2" t="s">
        <v>10</v>
      </c>
    </row>
    <row r="203" spans="1:16" x14ac:dyDescent="0.35">
      <c r="A203" s="3">
        <v>42513</v>
      </c>
      <c r="B203" s="2" t="str">
        <f>TEXT(Table1[[#This Row],[Date]],"mmm")</f>
        <v>May</v>
      </c>
      <c r="C203" s="1">
        <f>YEAR(Table1[[#This Row],[Date]])</f>
        <v>2016</v>
      </c>
      <c r="D203" s="5">
        <v>95.870002999999997</v>
      </c>
      <c r="E203" s="5">
        <v>97.190002000000007</v>
      </c>
      <c r="F203" s="5">
        <v>95.669998000000007</v>
      </c>
      <c r="G203" s="5">
        <v>96.43</v>
      </c>
      <c r="H203" s="1">
        <v>38018600</v>
      </c>
      <c r="I203">
        <v>95.008606</v>
      </c>
      <c r="J203">
        <v>88.7823949</v>
      </c>
      <c r="K203">
        <v>94.392666219999995</v>
      </c>
      <c r="L203">
        <v>100.0029375</v>
      </c>
      <c r="M203" s="5">
        <f>Table1[[#This Row],[AAPL.Close]] -Table1[[#This Row],[AAPL.Open]]</f>
        <v>0.55999700000000985</v>
      </c>
      <c r="N203" s="4">
        <f>(Table1[[#This Row],[AAPL.Close]] - Table1[[#This Row],[AAPL.Open]]) /Table1[[#This Row],[AAPL.Open]]</f>
        <v>5.8412118752099122E-3</v>
      </c>
      <c r="O203" s="4" t="str">
        <f>IF(Table1[[#This Row],[AAPL.Close]] &gt; Table1[[#This Row],[AAPL.Open]], "Up", "Down")</f>
        <v>Up</v>
      </c>
      <c r="P203" s="2" t="s">
        <v>10</v>
      </c>
    </row>
    <row r="204" spans="1:16" x14ac:dyDescent="0.35">
      <c r="A204" s="3">
        <v>42514</v>
      </c>
      <c r="B204" s="2" t="str">
        <f>TEXT(Table1[[#This Row],[Date]],"mmm")</f>
        <v>May</v>
      </c>
      <c r="C204" s="1">
        <f>YEAR(Table1[[#This Row],[Date]])</f>
        <v>2016</v>
      </c>
      <c r="D204" s="5">
        <v>97.220000999999996</v>
      </c>
      <c r="E204" s="5">
        <v>98.089995999999999</v>
      </c>
      <c r="F204" s="5">
        <v>96.839995999999999</v>
      </c>
      <c r="G204" s="5">
        <v>97.900002000000001</v>
      </c>
      <c r="H204" s="1">
        <v>35140200</v>
      </c>
      <c r="I204">
        <v>96.456939000000006</v>
      </c>
      <c r="J204">
        <v>90.503816939999993</v>
      </c>
      <c r="K204">
        <v>94.04716603</v>
      </c>
      <c r="L204">
        <v>97.59051513</v>
      </c>
      <c r="M204" s="5">
        <f>Table1[[#This Row],[AAPL.Close]] -Table1[[#This Row],[AAPL.Open]]</f>
        <v>0.6800010000000043</v>
      </c>
      <c r="N204" s="4">
        <f>(Table1[[#This Row],[AAPL.Close]] - Table1[[#This Row],[AAPL.Open]]) /Table1[[#This Row],[AAPL.Open]]</f>
        <v>6.9944558013325291E-3</v>
      </c>
      <c r="O204" s="4" t="str">
        <f>IF(Table1[[#This Row],[AAPL.Close]] &gt; Table1[[#This Row],[AAPL.Open]], "Up", "Down")</f>
        <v>Up</v>
      </c>
      <c r="P204" s="2" t="s">
        <v>10</v>
      </c>
    </row>
    <row r="205" spans="1:16" x14ac:dyDescent="0.35">
      <c r="A205" s="3">
        <v>42515</v>
      </c>
      <c r="B205" s="2" t="str">
        <f>TEXT(Table1[[#This Row],[Date]],"mmm")</f>
        <v>May</v>
      </c>
      <c r="C205" s="1">
        <f>YEAR(Table1[[#This Row],[Date]])</f>
        <v>2016</v>
      </c>
      <c r="D205" s="5">
        <v>98.669998000000007</v>
      </c>
      <c r="E205" s="5">
        <v>99.739998</v>
      </c>
      <c r="F205" s="5">
        <v>98.110000999999997</v>
      </c>
      <c r="G205" s="5">
        <v>99.620002999999997</v>
      </c>
      <c r="H205" s="1">
        <v>38168800</v>
      </c>
      <c r="I205">
        <v>98.151587000000006</v>
      </c>
      <c r="J205">
        <v>90.198691190000005</v>
      </c>
      <c r="K205">
        <v>94.134832750000001</v>
      </c>
      <c r="L205">
        <v>98.070974309999997</v>
      </c>
      <c r="M205" s="5">
        <f>Table1[[#This Row],[AAPL.Close]] -Table1[[#This Row],[AAPL.Open]]</f>
        <v>0.95000499999999022</v>
      </c>
      <c r="N205" s="4">
        <f>(Table1[[#This Row],[AAPL.Close]] - Table1[[#This Row],[AAPL.Open]]) /Table1[[#This Row],[AAPL.Open]]</f>
        <v>9.6281039754352697E-3</v>
      </c>
      <c r="O205" s="4" t="str">
        <f>IF(Table1[[#This Row],[AAPL.Close]] &gt; Table1[[#This Row],[AAPL.Open]], "Up", "Down")</f>
        <v>Up</v>
      </c>
      <c r="P205" s="2" t="s">
        <v>10</v>
      </c>
    </row>
    <row r="206" spans="1:16" x14ac:dyDescent="0.35">
      <c r="A206" s="3">
        <v>42516</v>
      </c>
      <c r="B206" s="2" t="str">
        <f>TEXT(Table1[[#This Row],[Date]],"mmm")</f>
        <v>May</v>
      </c>
      <c r="C206" s="1">
        <f>YEAR(Table1[[#This Row],[Date]])</f>
        <v>2016</v>
      </c>
      <c r="D206" s="5">
        <v>99.68</v>
      </c>
      <c r="E206" s="5">
        <v>100.730003</v>
      </c>
      <c r="F206" s="5">
        <v>98.639999000000003</v>
      </c>
      <c r="G206" s="5">
        <v>100.410004</v>
      </c>
      <c r="H206" s="1">
        <v>56331200</v>
      </c>
      <c r="I206">
        <v>98.929942999999994</v>
      </c>
      <c r="J206">
        <v>89.705386300000001</v>
      </c>
      <c r="K206">
        <v>94.348499529999998</v>
      </c>
      <c r="L206">
        <v>98.991612759999995</v>
      </c>
      <c r="M206" s="5">
        <f>Table1[[#This Row],[AAPL.Close]] -Table1[[#This Row],[AAPL.Open]]</f>
        <v>0.73000399999999388</v>
      </c>
      <c r="N206" s="4">
        <f>(Table1[[#This Row],[AAPL.Close]] - Table1[[#This Row],[AAPL.Open]]) /Table1[[#This Row],[AAPL.Open]]</f>
        <v>7.3234751203851709E-3</v>
      </c>
      <c r="O206" s="4" t="str">
        <f>IF(Table1[[#This Row],[AAPL.Close]] &gt; Table1[[#This Row],[AAPL.Open]], "Up", "Down")</f>
        <v>Up</v>
      </c>
      <c r="P206" s="2" t="s">
        <v>10</v>
      </c>
    </row>
    <row r="207" spans="1:16" x14ac:dyDescent="0.35">
      <c r="A207" s="3">
        <v>42517</v>
      </c>
      <c r="B207" s="2" t="str">
        <f>TEXT(Table1[[#This Row],[Date]],"mmm")</f>
        <v>May</v>
      </c>
      <c r="C207" s="1">
        <f>YEAR(Table1[[#This Row],[Date]])</f>
        <v>2016</v>
      </c>
      <c r="D207" s="5">
        <v>99.440002000000007</v>
      </c>
      <c r="E207" s="5">
        <v>100.470001</v>
      </c>
      <c r="F207" s="5">
        <v>99.25</v>
      </c>
      <c r="G207" s="5">
        <v>100.349998</v>
      </c>
      <c r="H207" s="1">
        <v>36229500</v>
      </c>
      <c r="I207">
        <v>98.870823000000001</v>
      </c>
      <c r="J207">
        <v>89.42296245</v>
      </c>
      <c r="K207">
        <v>94.666832830000004</v>
      </c>
      <c r="L207">
        <v>99.910703220000002</v>
      </c>
      <c r="M207" s="5">
        <f>Table1[[#This Row],[AAPL.Close]] -Table1[[#This Row],[AAPL.Open]]</f>
        <v>0.90999599999999248</v>
      </c>
      <c r="N207" s="4">
        <f>(Table1[[#This Row],[AAPL.Close]] - Table1[[#This Row],[AAPL.Open]]) /Table1[[#This Row],[AAPL.Open]]</f>
        <v>9.1512065737890114E-3</v>
      </c>
      <c r="O207" s="4" t="str">
        <f>IF(Table1[[#This Row],[AAPL.Close]] &gt; Table1[[#This Row],[AAPL.Open]], "Up", "Down")</f>
        <v>Up</v>
      </c>
      <c r="P207" s="2" t="s">
        <v>10</v>
      </c>
    </row>
    <row r="208" spans="1:16" x14ac:dyDescent="0.35">
      <c r="A208" s="3">
        <v>42521</v>
      </c>
      <c r="B208" s="2" t="str">
        <f>TEXT(Table1[[#This Row],[Date]],"mmm")</f>
        <v>May</v>
      </c>
      <c r="C208" s="1">
        <f>YEAR(Table1[[#This Row],[Date]])</f>
        <v>2016</v>
      </c>
      <c r="D208" s="5">
        <v>99.599997999999999</v>
      </c>
      <c r="E208" s="5">
        <v>100.400002</v>
      </c>
      <c r="F208" s="5">
        <v>98.82</v>
      </c>
      <c r="G208" s="5">
        <v>99.860000999999997</v>
      </c>
      <c r="H208" s="1">
        <v>42307200</v>
      </c>
      <c r="I208">
        <v>98.388047</v>
      </c>
      <c r="J208">
        <v>89.342153049999993</v>
      </c>
      <c r="K208">
        <v>94.982832830000007</v>
      </c>
      <c r="L208">
        <v>100.6235126</v>
      </c>
      <c r="M208" s="5">
        <f>Table1[[#This Row],[AAPL.Close]] -Table1[[#This Row],[AAPL.Open]]</f>
        <v>0.26000299999999754</v>
      </c>
      <c r="N208" s="4">
        <f>(Table1[[#This Row],[AAPL.Close]] - Table1[[#This Row],[AAPL.Open]]) /Table1[[#This Row],[AAPL.Open]]</f>
        <v>2.6104719399692913E-3</v>
      </c>
      <c r="O208" s="4" t="str">
        <f>IF(Table1[[#This Row],[AAPL.Close]] &gt; Table1[[#This Row],[AAPL.Open]], "Up", "Down")</f>
        <v>Up</v>
      </c>
      <c r="P208" s="2" t="s">
        <v>10</v>
      </c>
    </row>
    <row r="209" spans="1:16" x14ac:dyDescent="0.35">
      <c r="A209" s="3">
        <v>42156</v>
      </c>
      <c r="B209" s="2" t="str">
        <f>TEXT(Table1[[#This Row],[Date]],"mmm")</f>
        <v>Jun</v>
      </c>
      <c r="C209" s="1">
        <f>YEAR(Table1[[#This Row],[Date]])</f>
        <v>2015</v>
      </c>
      <c r="D209" s="5">
        <v>130.279999</v>
      </c>
      <c r="E209" s="5">
        <v>131.38999899999999</v>
      </c>
      <c r="F209" s="5">
        <v>130.050003</v>
      </c>
      <c r="G209" s="5">
        <v>130.53999300000001</v>
      </c>
      <c r="H209" s="1">
        <v>32112800</v>
      </c>
      <c r="I209">
        <v>126.03511</v>
      </c>
      <c r="J209">
        <v>124.3594994</v>
      </c>
      <c r="K209">
        <v>128.8584999</v>
      </c>
      <c r="L209">
        <v>133.35750039999999</v>
      </c>
      <c r="M209" s="5">
        <f>Table1[[#This Row],[AAPL.Close]] -Table1[[#This Row],[AAPL.Open]]</f>
        <v>0.25999400000000605</v>
      </c>
      <c r="N209" s="4">
        <f>(Table1[[#This Row],[AAPL.Close]] - Table1[[#This Row],[AAPL.Open]]) /Table1[[#This Row],[AAPL.Open]]</f>
        <v>1.9956555265248817E-3</v>
      </c>
      <c r="O209" s="4" t="str">
        <f>IF(Table1[[#This Row],[AAPL.Close]] &gt; Table1[[#This Row],[AAPL.Open]], "Up", "Down")</f>
        <v>Up</v>
      </c>
      <c r="P209" s="2" t="s">
        <v>10</v>
      </c>
    </row>
    <row r="210" spans="1:16" x14ac:dyDescent="0.35">
      <c r="A210" s="3">
        <v>42157</v>
      </c>
      <c r="B210" s="2" t="str">
        <f>TEXT(Table1[[#This Row],[Date]],"mmm")</f>
        <v>Jun</v>
      </c>
      <c r="C210" s="1">
        <f>YEAR(Table1[[#This Row],[Date]])</f>
        <v>2015</v>
      </c>
      <c r="D210" s="5">
        <v>129.86000100000001</v>
      </c>
      <c r="E210" s="5">
        <v>130.66000399999999</v>
      </c>
      <c r="F210" s="5">
        <v>129.320007</v>
      </c>
      <c r="G210" s="5">
        <v>129.96000699999999</v>
      </c>
      <c r="H210" s="1">
        <v>33667600</v>
      </c>
      <c r="I210">
        <v>125.475139</v>
      </c>
      <c r="J210">
        <v>124.37474589999999</v>
      </c>
      <c r="K210">
        <v>128.89866689999999</v>
      </c>
      <c r="L210">
        <v>133.4225879</v>
      </c>
      <c r="M210" s="5">
        <f>Table1[[#This Row],[AAPL.Close]] -Table1[[#This Row],[AAPL.Open]]</f>
        <v>0.10000599999997917</v>
      </c>
      <c r="N210" s="4">
        <f>(Table1[[#This Row],[AAPL.Close]] - Table1[[#This Row],[AAPL.Open]]) /Table1[[#This Row],[AAPL.Open]]</f>
        <v>7.7010626235848531E-4</v>
      </c>
      <c r="O210" s="4" t="str">
        <f>IF(Table1[[#This Row],[AAPL.Close]] &gt; Table1[[#This Row],[AAPL.Open]], "Up", "Down")</f>
        <v>Up</v>
      </c>
      <c r="P210" s="2" t="s">
        <v>10</v>
      </c>
    </row>
    <row r="211" spans="1:16" x14ac:dyDescent="0.35">
      <c r="A211" s="3">
        <v>42158</v>
      </c>
      <c r="B211" s="2" t="str">
        <f>TEXT(Table1[[#This Row],[Date]],"mmm")</f>
        <v>Jun</v>
      </c>
      <c r="C211" s="1">
        <f>YEAR(Table1[[#This Row],[Date]])</f>
        <v>2015</v>
      </c>
      <c r="D211" s="5">
        <v>130.66000399999999</v>
      </c>
      <c r="E211" s="5">
        <v>130.94000199999999</v>
      </c>
      <c r="F211" s="5">
        <v>129.89999399999999</v>
      </c>
      <c r="G211" s="5">
        <v>130.11999499999999</v>
      </c>
      <c r="H211" s="1">
        <v>30889400</v>
      </c>
      <c r="I211">
        <v>125.629606</v>
      </c>
      <c r="J211">
        <v>124.6367699</v>
      </c>
      <c r="K211">
        <v>129.08083350000001</v>
      </c>
      <c r="L211">
        <v>133.52489700000001</v>
      </c>
      <c r="M211" s="5">
        <f>Table1[[#This Row],[AAPL.Close]] -Table1[[#This Row],[AAPL.Open]]</f>
        <v>-0.54000899999999774</v>
      </c>
      <c r="N211" s="4">
        <f>(Table1[[#This Row],[AAPL.Close]] - Table1[[#This Row],[AAPL.Open]]) /Table1[[#This Row],[AAPL.Open]]</f>
        <v>-4.1329326761691959E-3</v>
      </c>
      <c r="O211" s="4" t="str">
        <f>IF(Table1[[#This Row],[AAPL.Close]] &gt; Table1[[#This Row],[AAPL.Open]], "Up", "Down")</f>
        <v>Down</v>
      </c>
      <c r="P211" s="2" t="s">
        <v>11</v>
      </c>
    </row>
    <row r="212" spans="1:16" x14ac:dyDescent="0.35">
      <c r="A212" s="3">
        <v>42159</v>
      </c>
      <c r="B212" s="2" t="str">
        <f>TEXT(Table1[[#This Row],[Date]],"mmm")</f>
        <v>Jun</v>
      </c>
      <c r="C212" s="1">
        <f>YEAR(Table1[[#This Row],[Date]])</f>
        <v>2015</v>
      </c>
      <c r="D212" s="5">
        <v>129.58000200000001</v>
      </c>
      <c r="E212" s="5">
        <v>130.58000200000001</v>
      </c>
      <c r="F212" s="5">
        <v>128.91000399999999</v>
      </c>
      <c r="G212" s="5">
        <v>129.36000100000001</v>
      </c>
      <c r="H212" s="1">
        <v>38450100</v>
      </c>
      <c r="I212">
        <v>124.895839</v>
      </c>
      <c r="J212">
        <v>125.26837980000001</v>
      </c>
      <c r="K212">
        <v>129.3096669</v>
      </c>
      <c r="L212">
        <v>133.35095390000001</v>
      </c>
      <c r="M212" s="5">
        <f>Table1[[#This Row],[AAPL.Close]] -Table1[[#This Row],[AAPL.Open]]</f>
        <v>-0.22000099999999634</v>
      </c>
      <c r="N212" s="4">
        <f>(Table1[[#This Row],[AAPL.Close]] - Table1[[#This Row],[AAPL.Open]]) /Table1[[#This Row],[AAPL.Open]]</f>
        <v>-1.6978005603055658E-3</v>
      </c>
      <c r="O212" s="4" t="str">
        <f>IF(Table1[[#This Row],[AAPL.Close]] &gt; Table1[[#This Row],[AAPL.Open]], "Up", "Down")</f>
        <v>Down</v>
      </c>
      <c r="P212" s="2" t="s">
        <v>11</v>
      </c>
    </row>
    <row r="213" spans="1:16" x14ac:dyDescent="0.35">
      <c r="A213" s="3">
        <v>42160</v>
      </c>
      <c r="B213" s="2" t="str">
        <f>TEXT(Table1[[#This Row],[Date]],"mmm")</f>
        <v>Jun</v>
      </c>
      <c r="C213" s="1">
        <f>YEAR(Table1[[#This Row],[Date]])</f>
        <v>2015</v>
      </c>
      <c r="D213" s="5">
        <v>129.5</v>
      </c>
      <c r="E213" s="5">
        <v>129.69000199999999</v>
      </c>
      <c r="F213" s="5">
        <v>128.36000100000001</v>
      </c>
      <c r="G213" s="5">
        <v>128.64999399999999</v>
      </c>
      <c r="H213" s="1">
        <v>35626800</v>
      </c>
      <c r="I213">
        <v>124.210334</v>
      </c>
      <c r="J213">
        <v>125.9332746</v>
      </c>
      <c r="K213">
        <v>129.4986668</v>
      </c>
      <c r="L213">
        <v>133.06405899999999</v>
      </c>
      <c r="M213" s="5">
        <f>Table1[[#This Row],[AAPL.Close]] -Table1[[#This Row],[AAPL.Open]]</f>
        <v>-0.85000600000000759</v>
      </c>
      <c r="N213" s="4">
        <f>(Table1[[#This Row],[AAPL.Close]] - Table1[[#This Row],[AAPL.Open]]) /Table1[[#This Row],[AAPL.Open]]</f>
        <v>-6.5637528957529544E-3</v>
      </c>
      <c r="O213" s="4" t="str">
        <f>IF(Table1[[#This Row],[AAPL.Close]] &gt; Table1[[#This Row],[AAPL.Open]], "Up", "Down")</f>
        <v>Down</v>
      </c>
      <c r="P213" s="2" t="s">
        <v>11</v>
      </c>
    </row>
    <row r="214" spans="1:16" x14ac:dyDescent="0.35">
      <c r="A214" s="3">
        <v>42163</v>
      </c>
      <c r="B214" s="2" t="str">
        <f>TEXT(Table1[[#This Row],[Date]],"mmm")</f>
        <v>Jun</v>
      </c>
      <c r="C214" s="1">
        <f>YEAR(Table1[[#This Row],[Date]])</f>
        <v>2015</v>
      </c>
      <c r="D214" s="5">
        <v>128.89999399999999</v>
      </c>
      <c r="E214" s="5">
        <v>129.21000699999999</v>
      </c>
      <c r="F214" s="5">
        <v>126.83000199999999</v>
      </c>
      <c r="G214" s="5">
        <v>127.800003</v>
      </c>
      <c r="H214" s="1">
        <v>52674800</v>
      </c>
      <c r="I214">
        <v>123.38967599999999</v>
      </c>
      <c r="J214">
        <v>126.0685551</v>
      </c>
      <c r="K214">
        <v>129.5401669</v>
      </c>
      <c r="L214">
        <v>133.01177860000001</v>
      </c>
      <c r="M214" s="5">
        <f>Table1[[#This Row],[AAPL.Close]] -Table1[[#This Row],[AAPL.Open]]</f>
        <v>-1.0999909999999886</v>
      </c>
      <c r="N214" s="4">
        <f>(Table1[[#This Row],[AAPL.Close]] - Table1[[#This Row],[AAPL.Open]]) /Table1[[#This Row],[AAPL.Open]]</f>
        <v>-8.5336776664240079E-3</v>
      </c>
      <c r="O214" s="4" t="str">
        <f>IF(Table1[[#This Row],[AAPL.Close]] &gt; Table1[[#This Row],[AAPL.Open]], "Up", "Down")</f>
        <v>Down</v>
      </c>
      <c r="P214" s="2" t="s">
        <v>11</v>
      </c>
    </row>
    <row r="215" spans="1:16" x14ac:dyDescent="0.35">
      <c r="A215" s="3">
        <v>42164</v>
      </c>
      <c r="B215" s="2" t="str">
        <f>TEXT(Table1[[#This Row],[Date]],"mmm")</f>
        <v>Jun</v>
      </c>
      <c r="C215" s="1">
        <f>YEAR(Table1[[#This Row],[Date]])</f>
        <v>2015</v>
      </c>
      <c r="D215" s="5">
        <v>126.699997</v>
      </c>
      <c r="E215" s="5">
        <v>128.08000200000001</v>
      </c>
      <c r="F215" s="5">
        <v>125.620003</v>
      </c>
      <c r="G215" s="5">
        <v>127.41999800000001</v>
      </c>
      <c r="H215" s="1">
        <v>56075400</v>
      </c>
      <c r="I215">
        <v>123.022785</v>
      </c>
      <c r="J215">
        <v>126.1824915</v>
      </c>
      <c r="K215">
        <v>129.56700029999999</v>
      </c>
      <c r="L215">
        <v>132.9515092</v>
      </c>
      <c r="M215" s="5">
        <f>Table1[[#This Row],[AAPL.Close]] -Table1[[#This Row],[AAPL.Open]]</f>
        <v>0.72000100000001055</v>
      </c>
      <c r="N215" s="4">
        <f>(Table1[[#This Row],[AAPL.Close]] - Table1[[#This Row],[AAPL.Open]]) /Table1[[#This Row],[AAPL.Open]]</f>
        <v>5.682723102195579E-3</v>
      </c>
      <c r="O215" s="4" t="str">
        <f>IF(Table1[[#This Row],[AAPL.Close]] &gt; Table1[[#This Row],[AAPL.Open]], "Up", "Down")</f>
        <v>Up</v>
      </c>
      <c r="P215" s="2" t="s">
        <v>10</v>
      </c>
    </row>
    <row r="216" spans="1:16" x14ac:dyDescent="0.35">
      <c r="A216" s="3">
        <v>42165</v>
      </c>
      <c r="B216" s="2" t="str">
        <f>TEXT(Table1[[#This Row],[Date]],"mmm")</f>
        <v>Jun</v>
      </c>
      <c r="C216" s="1">
        <f>YEAR(Table1[[#This Row],[Date]])</f>
        <v>2015</v>
      </c>
      <c r="D216" s="5">
        <v>127.91999800000001</v>
      </c>
      <c r="E216" s="5">
        <v>129.33999600000001</v>
      </c>
      <c r="F216" s="5">
        <v>127.849998</v>
      </c>
      <c r="G216" s="5">
        <v>128.88000500000001</v>
      </c>
      <c r="H216" s="1">
        <v>39087300</v>
      </c>
      <c r="I216">
        <v>124.432408</v>
      </c>
      <c r="J216">
        <v>126.74638179999999</v>
      </c>
      <c r="K216">
        <v>129.70866699999999</v>
      </c>
      <c r="L216">
        <v>132.67095209999999</v>
      </c>
      <c r="M216" s="5">
        <f>Table1[[#This Row],[AAPL.Close]] -Table1[[#This Row],[AAPL.Open]]</f>
        <v>0.9600070000000045</v>
      </c>
      <c r="N216" s="4">
        <f>(Table1[[#This Row],[AAPL.Close]] - Table1[[#This Row],[AAPL.Open]]) /Table1[[#This Row],[AAPL.Open]]</f>
        <v>7.5047452705557767E-3</v>
      </c>
      <c r="O216" s="4" t="str">
        <f>IF(Table1[[#This Row],[AAPL.Close]] &gt; Table1[[#This Row],[AAPL.Open]], "Up", "Down")</f>
        <v>Up</v>
      </c>
      <c r="P216" s="2" t="s">
        <v>10</v>
      </c>
    </row>
    <row r="217" spans="1:16" x14ac:dyDescent="0.35">
      <c r="A217" s="3">
        <v>42166</v>
      </c>
      <c r="B217" s="2" t="str">
        <f>TEXT(Table1[[#This Row],[Date]],"mmm")</f>
        <v>Jun</v>
      </c>
      <c r="C217" s="1">
        <f>YEAR(Table1[[#This Row],[Date]])</f>
        <v>2015</v>
      </c>
      <c r="D217" s="5">
        <v>129.179993</v>
      </c>
      <c r="E217" s="5">
        <v>130.179993</v>
      </c>
      <c r="F217" s="5">
        <v>128.479996</v>
      </c>
      <c r="G217" s="5">
        <v>128.58999600000001</v>
      </c>
      <c r="H217" s="1">
        <v>35390900</v>
      </c>
      <c r="I217">
        <v>124.152407</v>
      </c>
      <c r="J217">
        <v>127.2892578</v>
      </c>
      <c r="K217">
        <v>129.845</v>
      </c>
      <c r="L217">
        <v>132.4007421</v>
      </c>
      <c r="M217" s="5">
        <f>Table1[[#This Row],[AAPL.Close]] -Table1[[#This Row],[AAPL.Open]]</f>
        <v>-0.58999699999998256</v>
      </c>
      <c r="N217" s="4">
        <f>(Table1[[#This Row],[AAPL.Close]] - Table1[[#This Row],[AAPL.Open]]) /Table1[[#This Row],[AAPL.Open]]</f>
        <v>-4.567247499386245E-3</v>
      </c>
      <c r="O217" s="4" t="str">
        <f>IF(Table1[[#This Row],[AAPL.Close]] &gt; Table1[[#This Row],[AAPL.Open]], "Up", "Down")</f>
        <v>Down</v>
      </c>
      <c r="P217" s="2" t="s">
        <v>11</v>
      </c>
    </row>
    <row r="218" spans="1:16" x14ac:dyDescent="0.35">
      <c r="A218" s="3">
        <v>42167</v>
      </c>
      <c r="B218" s="2" t="str">
        <f>TEXT(Table1[[#This Row],[Date]],"mmm")</f>
        <v>Jun</v>
      </c>
      <c r="C218" s="1">
        <f>YEAR(Table1[[#This Row],[Date]])</f>
        <v>2015</v>
      </c>
      <c r="D218" s="5">
        <v>128.19000199999999</v>
      </c>
      <c r="E218" s="5">
        <v>128.33000200000001</v>
      </c>
      <c r="F218" s="5">
        <v>127.110001</v>
      </c>
      <c r="G218" s="5">
        <v>127.16999800000001</v>
      </c>
      <c r="H218" s="1">
        <v>36886200</v>
      </c>
      <c r="I218">
        <v>122.781413</v>
      </c>
      <c r="J218">
        <v>127.131001</v>
      </c>
      <c r="K218">
        <v>129.8041667</v>
      </c>
      <c r="L218">
        <v>132.4773323</v>
      </c>
      <c r="M218" s="5">
        <f>Table1[[#This Row],[AAPL.Close]] -Table1[[#This Row],[AAPL.Open]]</f>
        <v>-1.0200039999999859</v>
      </c>
      <c r="N218" s="4">
        <f>(Table1[[#This Row],[AAPL.Close]] - Table1[[#This Row],[AAPL.Open]]) /Table1[[#This Row],[AAPL.Open]]</f>
        <v>-7.9569699983309625E-3</v>
      </c>
      <c r="O218" s="4" t="str">
        <f>IF(Table1[[#This Row],[AAPL.Close]] &gt; Table1[[#This Row],[AAPL.Open]], "Up", "Down")</f>
        <v>Down</v>
      </c>
      <c r="P218" s="2" t="s">
        <v>11</v>
      </c>
    </row>
    <row r="219" spans="1:16" x14ac:dyDescent="0.35">
      <c r="A219" s="3">
        <v>42170</v>
      </c>
      <c r="B219" s="2" t="str">
        <f>TEXT(Table1[[#This Row],[Date]],"mmm")</f>
        <v>Jun</v>
      </c>
      <c r="C219" s="1">
        <f>YEAR(Table1[[#This Row],[Date]])</f>
        <v>2015</v>
      </c>
      <c r="D219" s="5">
        <v>126.099998</v>
      </c>
      <c r="E219" s="5">
        <v>127.239998</v>
      </c>
      <c r="F219" s="5">
        <v>125.709999</v>
      </c>
      <c r="G219" s="5">
        <v>126.91999800000001</v>
      </c>
      <c r="H219" s="1">
        <v>43988900</v>
      </c>
      <c r="I219">
        <v>122.54004</v>
      </c>
      <c r="J219">
        <v>126.70609810000001</v>
      </c>
      <c r="K219">
        <v>129.69416630000001</v>
      </c>
      <c r="L219">
        <v>132.68223459999999</v>
      </c>
      <c r="M219" s="5">
        <f>Table1[[#This Row],[AAPL.Close]] -Table1[[#This Row],[AAPL.Open]]</f>
        <v>0.82000000000000739</v>
      </c>
      <c r="N219" s="4">
        <f>(Table1[[#This Row],[AAPL.Close]] - Table1[[#This Row],[AAPL.Open]]) /Table1[[#This Row],[AAPL.Open]]</f>
        <v>6.5027756780773891E-3</v>
      </c>
      <c r="O219" s="4" t="str">
        <f>IF(Table1[[#This Row],[AAPL.Close]] &gt; Table1[[#This Row],[AAPL.Open]], "Up", "Down")</f>
        <v>Up</v>
      </c>
      <c r="P219" s="2" t="s">
        <v>10</v>
      </c>
    </row>
    <row r="220" spans="1:16" x14ac:dyDescent="0.35">
      <c r="A220" s="3">
        <v>42171</v>
      </c>
      <c r="B220" s="2" t="str">
        <f>TEXT(Table1[[#This Row],[Date]],"mmm")</f>
        <v>Jun</v>
      </c>
      <c r="C220" s="1">
        <f>YEAR(Table1[[#This Row],[Date]])</f>
        <v>2015</v>
      </c>
      <c r="D220" s="5">
        <v>127.029999</v>
      </c>
      <c r="E220" s="5">
        <v>127.849998</v>
      </c>
      <c r="F220" s="5">
        <v>126.370003</v>
      </c>
      <c r="G220" s="5">
        <v>127.599998</v>
      </c>
      <c r="H220" s="1">
        <v>31494100</v>
      </c>
      <c r="I220">
        <v>123.196574</v>
      </c>
      <c r="J220">
        <v>126.4016896</v>
      </c>
      <c r="K220">
        <v>129.56999959999999</v>
      </c>
      <c r="L220">
        <v>132.73830950000001</v>
      </c>
      <c r="M220" s="5">
        <f>Table1[[#This Row],[AAPL.Close]] -Table1[[#This Row],[AAPL.Open]]</f>
        <v>0.5699989999999957</v>
      </c>
      <c r="N220" s="4">
        <f>(Table1[[#This Row],[AAPL.Close]] - Table1[[#This Row],[AAPL.Open]]) /Table1[[#This Row],[AAPL.Open]]</f>
        <v>4.4871211878069498E-3</v>
      </c>
      <c r="O220" s="4" t="str">
        <f>IF(Table1[[#This Row],[AAPL.Close]] &gt; Table1[[#This Row],[AAPL.Open]], "Up", "Down")</f>
        <v>Up</v>
      </c>
      <c r="P220" s="2" t="s">
        <v>10</v>
      </c>
    </row>
    <row r="221" spans="1:16" x14ac:dyDescent="0.35">
      <c r="A221" s="3">
        <v>42172</v>
      </c>
      <c r="B221" s="2" t="str">
        <f>TEXT(Table1[[#This Row],[Date]],"mmm")</f>
        <v>Jun</v>
      </c>
      <c r="C221" s="1">
        <f>YEAR(Table1[[#This Row],[Date]])</f>
        <v>2015</v>
      </c>
      <c r="D221" s="5">
        <v>127.720001</v>
      </c>
      <c r="E221" s="5">
        <v>127.879997</v>
      </c>
      <c r="F221" s="5">
        <v>126.739998</v>
      </c>
      <c r="G221" s="5">
        <v>127.300003</v>
      </c>
      <c r="H221" s="1">
        <v>32918100</v>
      </c>
      <c r="I221">
        <v>122.906931</v>
      </c>
      <c r="J221">
        <v>126.1238847</v>
      </c>
      <c r="K221">
        <v>129.42549940000001</v>
      </c>
      <c r="L221">
        <v>132.727114</v>
      </c>
      <c r="M221" s="5">
        <f>Table1[[#This Row],[AAPL.Close]] -Table1[[#This Row],[AAPL.Open]]</f>
        <v>-0.41999799999999254</v>
      </c>
      <c r="N221" s="4">
        <f>(Table1[[#This Row],[AAPL.Close]] - Table1[[#This Row],[AAPL.Open]]) /Table1[[#This Row],[AAPL.Open]]</f>
        <v>-3.2884277850889821E-3</v>
      </c>
      <c r="O221" s="4" t="str">
        <f>IF(Table1[[#This Row],[AAPL.Close]] &gt; Table1[[#This Row],[AAPL.Open]], "Up", "Down")</f>
        <v>Down</v>
      </c>
      <c r="P221" s="2" t="s">
        <v>11</v>
      </c>
    </row>
    <row r="222" spans="1:16" x14ac:dyDescent="0.35">
      <c r="A222" s="3">
        <v>42173</v>
      </c>
      <c r="B222" s="2" t="str">
        <f>TEXT(Table1[[#This Row],[Date]],"mmm")</f>
        <v>Jun</v>
      </c>
      <c r="C222" s="1">
        <f>YEAR(Table1[[#This Row],[Date]])</f>
        <v>2015</v>
      </c>
      <c r="D222" s="5">
        <v>127.230003</v>
      </c>
      <c r="E222" s="5">
        <v>128.30999800000001</v>
      </c>
      <c r="F222" s="5">
        <v>127.220001</v>
      </c>
      <c r="G222" s="5">
        <v>127.879997</v>
      </c>
      <c r="H222" s="1">
        <v>35407200</v>
      </c>
      <c r="I222">
        <v>123.46691</v>
      </c>
      <c r="J222">
        <v>125.9515598</v>
      </c>
      <c r="K222">
        <v>129.30933279999999</v>
      </c>
      <c r="L222">
        <v>132.6671058</v>
      </c>
      <c r="M222" s="5">
        <f>Table1[[#This Row],[AAPL.Close]] -Table1[[#This Row],[AAPL.Open]]</f>
        <v>0.64999400000000662</v>
      </c>
      <c r="N222" s="4">
        <f>(Table1[[#This Row],[AAPL.Close]] - Table1[[#This Row],[AAPL.Open]]) /Table1[[#This Row],[AAPL.Open]]</f>
        <v>5.1088106945969859E-3</v>
      </c>
      <c r="O222" s="4" t="str">
        <f>IF(Table1[[#This Row],[AAPL.Close]] &gt; Table1[[#This Row],[AAPL.Open]], "Up", "Down")</f>
        <v>Up</v>
      </c>
      <c r="P222" s="2" t="s">
        <v>10</v>
      </c>
    </row>
    <row r="223" spans="1:16" x14ac:dyDescent="0.35">
      <c r="A223" s="3">
        <v>42174</v>
      </c>
      <c r="B223" s="2" t="str">
        <f>TEXT(Table1[[#This Row],[Date]],"mmm")</f>
        <v>Jun</v>
      </c>
      <c r="C223" s="1">
        <f>YEAR(Table1[[#This Row],[Date]])</f>
        <v>2015</v>
      </c>
      <c r="D223" s="5">
        <v>127.709999</v>
      </c>
      <c r="E223" s="5">
        <v>127.82</v>
      </c>
      <c r="F223" s="5">
        <v>126.400002</v>
      </c>
      <c r="G223" s="5">
        <v>126.599998</v>
      </c>
      <c r="H223" s="1">
        <v>54716900</v>
      </c>
      <c r="I223">
        <v>122.231083</v>
      </c>
      <c r="J223">
        <v>125.6885656</v>
      </c>
      <c r="K223">
        <v>129.10883269999999</v>
      </c>
      <c r="L223">
        <v>132.52909980000001</v>
      </c>
      <c r="M223" s="5">
        <f>Table1[[#This Row],[AAPL.Close]] -Table1[[#This Row],[AAPL.Open]]</f>
        <v>-1.1100009999999969</v>
      </c>
      <c r="N223" s="4">
        <f>(Table1[[#This Row],[AAPL.Close]] - Table1[[#This Row],[AAPL.Open]]) /Table1[[#This Row],[AAPL.Open]]</f>
        <v>-8.6915747293991995E-3</v>
      </c>
      <c r="O223" s="4" t="str">
        <f>IF(Table1[[#This Row],[AAPL.Close]] &gt; Table1[[#This Row],[AAPL.Open]], "Up", "Down")</f>
        <v>Down</v>
      </c>
      <c r="P223" s="2" t="s">
        <v>11</v>
      </c>
    </row>
    <row r="224" spans="1:16" x14ac:dyDescent="0.35">
      <c r="A224" s="3">
        <v>42177</v>
      </c>
      <c r="B224" s="2" t="str">
        <f>TEXT(Table1[[#This Row],[Date]],"mmm")</f>
        <v>Jun</v>
      </c>
      <c r="C224" s="1">
        <f>YEAR(Table1[[#This Row],[Date]])</f>
        <v>2015</v>
      </c>
      <c r="D224" s="5">
        <v>127.489998</v>
      </c>
      <c r="E224" s="5">
        <v>128.05999800000001</v>
      </c>
      <c r="F224" s="5">
        <v>127.08000199999999</v>
      </c>
      <c r="G224" s="5">
        <v>127.610001</v>
      </c>
      <c r="H224" s="1">
        <v>34039300</v>
      </c>
      <c r="I224">
        <v>123.206231</v>
      </c>
      <c r="J224">
        <v>125.7264205</v>
      </c>
      <c r="K224">
        <v>128.87283289999999</v>
      </c>
      <c r="L224">
        <v>132.01924529999999</v>
      </c>
      <c r="M224" s="5">
        <f>Table1[[#This Row],[AAPL.Close]] -Table1[[#This Row],[AAPL.Open]]</f>
        <v>0.12000299999999697</v>
      </c>
      <c r="N224" s="4">
        <f>(Table1[[#This Row],[AAPL.Close]] - Table1[[#This Row],[AAPL.Open]]) /Table1[[#This Row],[AAPL.Open]]</f>
        <v>9.4127384016428467E-4</v>
      </c>
      <c r="O224" s="4" t="str">
        <f>IF(Table1[[#This Row],[AAPL.Close]] &gt; Table1[[#This Row],[AAPL.Open]], "Up", "Down")</f>
        <v>Up</v>
      </c>
      <c r="P224" s="2" t="s">
        <v>10</v>
      </c>
    </row>
    <row r="225" spans="1:16" x14ac:dyDescent="0.35">
      <c r="A225" s="3">
        <v>42178</v>
      </c>
      <c r="B225" s="2" t="str">
        <f>TEXT(Table1[[#This Row],[Date]],"mmm")</f>
        <v>Jun</v>
      </c>
      <c r="C225" s="1">
        <f>YEAR(Table1[[#This Row],[Date]])</f>
        <v>2015</v>
      </c>
      <c r="D225" s="5">
        <v>127.480003</v>
      </c>
      <c r="E225" s="5">
        <v>127.610001</v>
      </c>
      <c r="F225" s="5">
        <v>126.879997</v>
      </c>
      <c r="G225" s="5">
        <v>127.029999</v>
      </c>
      <c r="H225" s="1">
        <v>30268900</v>
      </c>
      <c r="I225">
        <v>122.646244</v>
      </c>
      <c r="J225">
        <v>125.57334849999999</v>
      </c>
      <c r="K225">
        <v>128.7039996</v>
      </c>
      <c r="L225">
        <v>131.8346507</v>
      </c>
      <c r="M225" s="5">
        <f>Table1[[#This Row],[AAPL.Close]] -Table1[[#This Row],[AAPL.Open]]</f>
        <v>-0.45000399999999274</v>
      </c>
      <c r="N225" s="4">
        <f>(Table1[[#This Row],[AAPL.Close]] - Table1[[#This Row],[AAPL.Open]]) /Table1[[#This Row],[AAPL.Open]]</f>
        <v>-3.529996779181067E-3</v>
      </c>
      <c r="O225" s="4" t="str">
        <f>IF(Table1[[#This Row],[AAPL.Close]] &gt; Table1[[#This Row],[AAPL.Open]], "Up", "Down")</f>
        <v>Down</v>
      </c>
      <c r="P225" s="2" t="s">
        <v>11</v>
      </c>
    </row>
    <row r="226" spans="1:16" x14ac:dyDescent="0.35">
      <c r="A226" s="3">
        <v>42179</v>
      </c>
      <c r="B226" s="2" t="str">
        <f>TEXT(Table1[[#This Row],[Date]],"mmm")</f>
        <v>Jun</v>
      </c>
      <c r="C226" s="1">
        <f>YEAR(Table1[[#This Row],[Date]])</f>
        <v>2015</v>
      </c>
      <c r="D226" s="5">
        <v>127.209999</v>
      </c>
      <c r="E226" s="5">
        <v>129.800003</v>
      </c>
      <c r="F226" s="5">
        <v>127.120003</v>
      </c>
      <c r="G226" s="5">
        <v>128.11000100000001</v>
      </c>
      <c r="H226" s="1">
        <v>55280900</v>
      </c>
      <c r="I226">
        <v>123.688976</v>
      </c>
      <c r="J226">
        <v>125.6811976</v>
      </c>
      <c r="K226">
        <v>128.54866659999999</v>
      </c>
      <c r="L226">
        <v>131.4161355</v>
      </c>
      <c r="M226" s="5">
        <f>Table1[[#This Row],[AAPL.Close]] -Table1[[#This Row],[AAPL.Open]]</f>
        <v>0.90000200000001485</v>
      </c>
      <c r="N226" s="4">
        <f>(Table1[[#This Row],[AAPL.Close]] - Table1[[#This Row],[AAPL.Open]]) /Table1[[#This Row],[AAPL.Open]]</f>
        <v>7.0749312717156366E-3</v>
      </c>
      <c r="O226" s="4" t="str">
        <f>IF(Table1[[#This Row],[AAPL.Close]] &gt; Table1[[#This Row],[AAPL.Open]], "Up", "Down")</f>
        <v>Up</v>
      </c>
      <c r="P226" s="2" t="s">
        <v>10</v>
      </c>
    </row>
    <row r="227" spans="1:16" x14ac:dyDescent="0.35">
      <c r="A227" s="3">
        <v>42180</v>
      </c>
      <c r="B227" s="2" t="str">
        <f>TEXT(Table1[[#This Row],[Date]],"mmm")</f>
        <v>Jun</v>
      </c>
      <c r="C227" s="1">
        <f>YEAR(Table1[[#This Row],[Date]])</f>
        <v>2015</v>
      </c>
      <c r="D227" s="5">
        <v>128.86000100000001</v>
      </c>
      <c r="E227" s="5">
        <v>129.199997</v>
      </c>
      <c r="F227" s="5">
        <v>127.5</v>
      </c>
      <c r="G227" s="5">
        <v>127.5</v>
      </c>
      <c r="H227" s="1">
        <v>31938100</v>
      </c>
      <c r="I227">
        <v>123.100026</v>
      </c>
      <c r="J227">
        <v>125.86771520000001</v>
      </c>
      <c r="K227">
        <v>128.37149980000001</v>
      </c>
      <c r="L227">
        <v>130.8752844</v>
      </c>
      <c r="M227" s="5">
        <f>Table1[[#This Row],[AAPL.Close]] -Table1[[#This Row],[AAPL.Open]]</f>
        <v>-1.3600010000000111</v>
      </c>
      <c r="N227" s="4">
        <f>(Table1[[#This Row],[AAPL.Close]] - Table1[[#This Row],[AAPL.Open]]) /Table1[[#This Row],[AAPL.Open]]</f>
        <v>-1.0554097388219103E-2</v>
      </c>
      <c r="O227" s="4" t="str">
        <f>IF(Table1[[#This Row],[AAPL.Close]] &gt; Table1[[#This Row],[AAPL.Open]], "Up", "Down")</f>
        <v>Down</v>
      </c>
      <c r="P227" s="2" t="s">
        <v>11</v>
      </c>
    </row>
    <row r="228" spans="1:16" x14ac:dyDescent="0.35">
      <c r="A228" s="3">
        <v>42181</v>
      </c>
      <c r="B228" s="2" t="str">
        <f>TEXT(Table1[[#This Row],[Date]],"mmm")</f>
        <v>Jun</v>
      </c>
      <c r="C228" s="1">
        <f>YEAR(Table1[[#This Row],[Date]])</f>
        <v>2015</v>
      </c>
      <c r="D228" s="5">
        <v>127.66999800000001</v>
      </c>
      <c r="E228" s="5">
        <v>127.989998</v>
      </c>
      <c r="F228" s="5">
        <v>126.510002</v>
      </c>
      <c r="G228" s="5">
        <v>126.75</v>
      </c>
      <c r="H228" s="1">
        <v>44066800</v>
      </c>
      <c r="I228">
        <v>122.375908</v>
      </c>
      <c r="J228">
        <v>125.8452624</v>
      </c>
      <c r="K228">
        <v>128.1985</v>
      </c>
      <c r="L228">
        <v>130.5517375</v>
      </c>
      <c r="M228" s="5">
        <f>Table1[[#This Row],[AAPL.Close]] -Table1[[#This Row],[AAPL.Open]]</f>
        <v>-0.91999800000000675</v>
      </c>
      <c r="N228" s="4">
        <f>(Table1[[#This Row],[AAPL.Close]] - Table1[[#This Row],[AAPL.Open]]) /Table1[[#This Row],[AAPL.Open]]</f>
        <v>-7.2060626177812481E-3</v>
      </c>
      <c r="O228" s="4" t="str">
        <f>IF(Table1[[#This Row],[AAPL.Close]] &gt; Table1[[#This Row],[AAPL.Open]], "Up", "Down")</f>
        <v>Down</v>
      </c>
      <c r="P228" s="2" t="s">
        <v>11</v>
      </c>
    </row>
    <row r="229" spans="1:16" x14ac:dyDescent="0.35">
      <c r="A229" s="3">
        <v>42184</v>
      </c>
      <c r="B229" s="2" t="str">
        <f>TEXT(Table1[[#This Row],[Date]],"mmm")</f>
        <v>Jun</v>
      </c>
      <c r="C229" s="1">
        <f>YEAR(Table1[[#This Row],[Date]])</f>
        <v>2015</v>
      </c>
      <c r="D229" s="5">
        <v>125.459999</v>
      </c>
      <c r="E229" s="5">
        <v>126.470001</v>
      </c>
      <c r="F229" s="5">
        <v>124.480003</v>
      </c>
      <c r="G229" s="5">
        <v>124.529999</v>
      </c>
      <c r="H229" s="1">
        <v>49161400</v>
      </c>
      <c r="I229">
        <v>120.232518</v>
      </c>
      <c r="J229">
        <v>125.50070669999999</v>
      </c>
      <c r="K229">
        <v>127.9235001</v>
      </c>
      <c r="L229">
        <v>130.3462935</v>
      </c>
      <c r="M229" s="5">
        <f>Table1[[#This Row],[AAPL.Close]] -Table1[[#This Row],[AAPL.Open]]</f>
        <v>-0.92999999999999261</v>
      </c>
      <c r="N229" s="4">
        <f>(Table1[[#This Row],[AAPL.Close]] - Table1[[#This Row],[AAPL.Open]]) /Table1[[#This Row],[AAPL.Open]]</f>
        <v>-7.4127212451196708E-3</v>
      </c>
      <c r="O229" s="4" t="str">
        <f>IF(Table1[[#This Row],[AAPL.Close]] &gt; Table1[[#This Row],[AAPL.Open]], "Up", "Down")</f>
        <v>Down</v>
      </c>
      <c r="P229" s="2" t="s">
        <v>11</v>
      </c>
    </row>
    <row r="230" spans="1:16" x14ac:dyDescent="0.35">
      <c r="A230" s="3">
        <v>42185</v>
      </c>
      <c r="B230" s="2" t="str">
        <f>TEXT(Table1[[#This Row],[Date]],"mmm")</f>
        <v>Jun</v>
      </c>
      <c r="C230" s="1">
        <f>YEAR(Table1[[#This Row],[Date]])</f>
        <v>2015</v>
      </c>
      <c r="D230" s="5">
        <v>125.57</v>
      </c>
      <c r="E230" s="5">
        <v>126.120003</v>
      </c>
      <c r="F230" s="5">
        <v>124.860001</v>
      </c>
      <c r="G230" s="5">
        <v>125.43</v>
      </c>
      <c r="H230" s="1">
        <v>44370700</v>
      </c>
      <c r="I230">
        <v>121.101461</v>
      </c>
      <c r="J230">
        <v>125.2434909</v>
      </c>
      <c r="K230">
        <v>127.6979999</v>
      </c>
      <c r="L230">
        <v>130.15250879999999</v>
      </c>
      <c r="M230" s="5">
        <f>Table1[[#This Row],[AAPL.Close]] -Table1[[#This Row],[AAPL.Open]]</f>
        <v>-0.13999999999998636</v>
      </c>
      <c r="N230" s="4">
        <f>(Table1[[#This Row],[AAPL.Close]] - Table1[[#This Row],[AAPL.Open]]) /Table1[[#This Row],[AAPL.Open]]</f>
        <v>-1.114915983116878E-3</v>
      </c>
      <c r="O230" s="4" t="str">
        <f>IF(Table1[[#This Row],[AAPL.Close]] &gt; Table1[[#This Row],[AAPL.Open]], "Up", "Down")</f>
        <v>Down</v>
      </c>
      <c r="P230" s="2" t="s">
        <v>11</v>
      </c>
    </row>
    <row r="231" spans="1:16" x14ac:dyDescent="0.35">
      <c r="A231" s="3">
        <v>42522</v>
      </c>
      <c r="B231" s="2" t="str">
        <f>TEXT(Table1[[#This Row],[Date]],"mmm")</f>
        <v>Jun</v>
      </c>
      <c r="C231" s="1">
        <f>YEAR(Table1[[#This Row],[Date]])</f>
        <v>2016</v>
      </c>
      <c r="D231" s="5">
        <v>99.019997000000004</v>
      </c>
      <c r="E231" s="5">
        <v>99.540001000000004</v>
      </c>
      <c r="F231" s="5">
        <v>98.330001999999993</v>
      </c>
      <c r="G231" s="5">
        <v>98.459998999999996</v>
      </c>
      <c r="H231" s="1">
        <v>29173300</v>
      </c>
      <c r="I231">
        <v>97.008681999999993</v>
      </c>
      <c r="J231">
        <v>89.301231200000004</v>
      </c>
      <c r="K231">
        <v>95.178332900000001</v>
      </c>
      <c r="L231">
        <v>101.0554346</v>
      </c>
      <c r="M231" s="5">
        <f>Table1[[#This Row],[AAPL.Close]] -Table1[[#This Row],[AAPL.Open]]</f>
        <v>-0.55999800000000732</v>
      </c>
      <c r="N231" s="4">
        <f>(Table1[[#This Row],[AAPL.Close]] - Table1[[#This Row],[AAPL.Open]]) /Table1[[#This Row],[AAPL.Open]]</f>
        <v>-5.655403120240524E-3</v>
      </c>
      <c r="O231" s="4" t="str">
        <f>IF(Table1[[#This Row],[AAPL.Close]] &gt; Table1[[#This Row],[AAPL.Open]], "Up", "Down")</f>
        <v>Down</v>
      </c>
      <c r="P231" s="2" t="s">
        <v>11</v>
      </c>
    </row>
    <row r="232" spans="1:16" x14ac:dyDescent="0.35">
      <c r="A232" s="3">
        <v>42523</v>
      </c>
      <c r="B232" s="2" t="str">
        <f>TEXT(Table1[[#This Row],[Date]],"mmm")</f>
        <v>Jun</v>
      </c>
      <c r="C232" s="1">
        <f>YEAR(Table1[[#This Row],[Date]])</f>
        <v>2016</v>
      </c>
      <c r="D232" s="5">
        <v>97.599997999999999</v>
      </c>
      <c r="E232" s="5">
        <v>97.839995999999999</v>
      </c>
      <c r="F232" s="5">
        <v>96.629997000000003</v>
      </c>
      <c r="G232" s="5">
        <v>97.720000999999996</v>
      </c>
      <c r="H232" s="1">
        <v>40191600</v>
      </c>
      <c r="I232">
        <v>96.279591999999994</v>
      </c>
      <c r="J232">
        <v>89.367411189999999</v>
      </c>
      <c r="K232">
        <v>95.316332729999999</v>
      </c>
      <c r="L232">
        <v>101.2652543</v>
      </c>
      <c r="M232" s="5">
        <f>Table1[[#This Row],[AAPL.Close]] -Table1[[#This Row],[AAPL.Open]]</f>
        <v>0.12000299999999697</v>
      </c>
      <c r="N232" s="4">
        <f>(Table1[[#This Row],[AAPL.Close]] - Table1[[#This Row],[AAPL.Open]]) /Table1[[#This Row],[AAPL.Open]]</f>
        <v>1.2295389596216691E-3</v>
      </c>
      <c r="O232" s="4" t="str">
        <f>IF(Table1[[#This Row],[AAPL.Close]] &gt; Table1[[#This Row],[AAPL.Open]], "Up", "Down")</f>
        <v>Up</v>
      </c>
      <c r="P232" s="2" t="s">
        <v>10</v>
      </c>
    </row>
    <row r="233" spans="1:16" x14ac:dyDescent="0.35">
      <c r="A233" s="3">
        <v>42524</v>
      </c>
      <c r="B233" s="2" t="str">
        <f>TEXT(Table1[[#This Row],[Date]],"mmm")</f>
        <v>Jun</v>
      </c>
      <c r="C233" s="1">
        <f>YEAR(Table1[[#This Row],[Date]])</f>
        <v>2016</v>
      </c>
      <c r="D233" s="5">
        <v>97.790001000000004</v>
      </c>
      <c r="E233" s="5">
        <v>98.269997000000004</v>
      </c>
      <c r="F233" s="5">
        <v>97.449996999999996</v>
      </c>
      <c r="G233" s="5">
        <v>97.919998000000007</v>
      </c>
      <c r="H233" s="1">
        <v>28062900</v>
      </c>
      <c r="I233">
        <v>96.476641000000001</v>
      </c>
      <c r="J233">
        <v>89.568214350000005</v>
      </c>
      <c r="K233">
        <v>95.543832629999997</v>
      </c>
      <c r="L233">
        <v>101.5194509</v>
      </c>
      <c r="M233" s="5">
        <f>Table1[[#This Row],[AAPL.Close]] -Table1[[#This Row],[AAPL.Open]]</f>
        <v>0.12999700000000303</v>
      </c>
      <c r="N233" s="4">
        <f>(Table1[[#This Row],[AAPL.Close]] - Table1[[#This Row],[AAPL.Open]]) /Table1[[#This Row],[AAPL.Open]]</f>
        <v>1.3293485905578734E-3</v>
      </c>
      <c r="O233" s="4" t="str">
        <f>IF(Table1[[#This Row],[AAPL.Close]] &gt; Table1[[#This Row],[AAPL.Open]], "Up", "Down")</f>
        <v>Up</v>
      </c>
      <c r="P233" s="2" t="s">
        <v>10</v>
      </c>
    </row>
    <row r="234" spans="1:16" x14ac:dyDescent="0.35">
      <c r="A234" s="3">
        <v>42527</v>
      </c>
      <c r="B234" s="2" t="str">
        <f>TEXT(Table1[[#This Row],[Date]],"mmm")</f>
        <v>Jun</v>
      </c>
      <c r="C234" s="1">
        <f>YEAR(Table1[[#This Row],[Date]])</f>
        <v>2016</v>
      </c>
      <c r="D234" s="5">
        <v>97.989998</v>
      </c>
      <c r="E234" s="5">
        <v>101.889999</v>
      </c>
      <c r="F234" s="5">
        <v>97.550003000000004</v>
      </c>
      <c r="G234" s="5">
        <v>98.629997000000003</v>
      </c>
      <c r="H234" s="1">
        <v>23292500</v>
      </c>
      <c r="I234">
        <v>97.176174000000003</v>
      </c>
      <c r="J234">
        <v>89.834744450000002</v>
      </c>
      <c r="K234">
        <v>95.877999349999996</v>
      </c>
      <c r="L234">
        <v>101.92125420000001</v>
      </c>
      <c r="M234" s="5">
        <f>Table1[[#This Row],[AAPL.Close]] -Table1[[#This Row],[AAPL.Open]]</f>
        <v>0.63999900000000309</v>
      </c>
      <c r="N234" s="4">
        <f>(Table1[[#This Row],[AAPL.Close]] - Table1[[#This Row],[AAPL.Open]]) /Table1[[#This Row],[AAPL.Open]]</f>
        <v>6.5312686300902168E-3</v>
      </c>
      <c r="O234" s="4" t="str">
        <f>IF(Table1[[#This Row],[AAPL.Close]] &gt; Table1[[#This Row],[AAPL.Open]], "Up", "Down")</f>
        <v>Up</v>
      </c>
      <c r="P234" s="2" t="s">
        <v>10</v>
      </c>
    </row>
    <row r="235" spans="1:16" x14ac:dyDescent="0.35">
      <c r="A235" s="3">
        <v>42528</v>
      </c>
      <c r="B235" s="2" t="str">
        <f>TEXT(Table1[[#This Row],[Date]],"mmm")</f>
        <v>Jun</v>
      </c>
      <c r="C235" s="1">
        <f>YEAR(Table1[[#This Row],[Date]])</f>
        <v>2016</v>
      </c>
      <c r="D235" s="5">
        <v>99.25</v>
      </c>
      <c r="E235" s="5">
        <v>99.870002999999997</v>
      </c>
      <c r="F235" s="5">
        <v>98.959998999999996</v>
      </c>
      <c r="G235" s="5">
        <v>99.029999000000004</v>
      </c>
      <c r="H235" s="1">
        <v>22409500</v>
      </c>
      <c r="I235">
        <v>97.570279999999997</v>
      </c>
      <c r="J235">
        <v>90.118897610000005</v>
      </c>
      <c r="K235">
        <v>96.189832800000005</v>
      </c>
      <c r="L235">
        <v>102.260768</v>
      </c>
      <c r="M235" s="5">
        <f>Table1[[#This Row],[AAPL.Close]] -Table1[[#This Row],[AAPL.Open]]</f>
        <v>-0.22000099999999634</v>
      </c>
      <c r="N235" s="4">
        <f>(Table1[[#This Row],[AAPL.Close]] - Table1[[#This Row],[AAPL.Open]]) /Table1[[#This Row],[AAPL.Open]]</f>
        <v>-2.2166347607052526E-3</v>
      </c>
      <c r="O235" s="4" t="str">
        <f>IF(Table1[[#This Row],[AAPL.Close]] &gt; Table1[[#This Row],[AAPL.Open]], "Up", "Down")</f>
        <v>Down</v>
      </c>
      <c r="P235" s="2" t="s">
        <v>11</v>
      </c>
    </row>
    <row r="236" spans="1:16" x14ac:dyDescent="0.35">
      <c r="A236" s="3">
        <v>42529</v>
      </c>
      <c r="B236" s="2" t="str">
        <f>TEXT(Table1[[#This Row],[Date]],"mmm")</f>
        <v>Jun</v>
      </c>
      <c r="C236" s="1">
        <f>YEAR(Table1[[#This Row],[Date]])</f>
        <v>2016</v>
      </c>
      <c r="D236" s="5">
        <v>99.019997000000004</v>
      </c>
      <c r="E236" s="5">
        <v>99.559997999999993</v>
      </c>
      <c r="F236" s="5">
        <v>98.68</v>
      </c>
      <c r="G236" s="5">
        <v>98.940002000000007</v>
      </c>
      <c r="H236" s="1">
        <v>20848100</v>
      </c>
      <c r="I236">
        <v>97.481610000000003</v>
      </c>
      <c r="J236">
        <v>90.478852070000002</v>
      </c>
      <c r="K236">
        <v>96.491166149999998</v>
      </c>
      <c r="L236">
        <v>102.5034802</v>
      </c>
      <c r="M236" s="5">
        <f>Table1[[#This Row],[AAPL.Close]] -Table1[[#This Row],[AAPL.Open]]</f>
        <v>-7.9994999999996708E-2</v>
      </c>
      <c r="N236" s="4">
        <f>(Table1[[#This Row],[AAPL.Close]] - Table1[[#This Row],[AAPL.Open]]) /Table1[[#This Row],[AAPL.Open]]</f>
        <v>-8.0786712203189325E-4</v>
      </c>
      <c r="O236" s="4" t="str">
        <f>IF(Table1[[#This Row],[AAPL.Close]] &gt; Table1[[#This Row],[AAPL.Open]], "Up", "Down")</f>
        <v>Down</v>
      </c>
      <c r="P236" s="2" t="s">
        <v>11</v>
      </c>
    </row>
    <row r="237" spans="1:16" x14ac:dyDescent="0.35">
      <c r="A237" s="3">
        <v>42530</v>
      </c>
      <c r="B237" s="2" t="str">
        <f>TEXT(Table1[[#This Row],[Date]],"mmm")</f>
        <v>Jun</v>
      </c>
      <c r="C237" s="1">
        <f>YEAR(Table1[[#This Row],[Date]])</f>
        <v>2016</v>
      </c>
      <c r="D237" s="5">
        <v>98.5</v>
      </c>
      <c r="E237" s="5">
        <v>99.989998</v>
      </c>
      <c r="F237" s="5">
        <v>98.459998999999996</v>
      </c>
      <c r="G237" s="5">
        <v>99.650002000000001</v>
      </c>
      <c r="H237" s="1">
        <v>26601400</v>
      </c>
      <c r="I237">
        <v>98.181144000000003</v>
      </c>
      <c r="J237">
        <v>90.924794590000005</v>
      </c>
      <c r="K237">
        <v>96.817166119999996</v>
      </c>
      <c r="L237">
        <v>102.7095376</v>
      </c>
      <c r="M237" s="5">
        <f>Table1[[#This Row],[AAPL.Close]] -Table1[[#This Row],[AAPL.Open]]</f>
        <v>1.1500020000000006</v>
      </c>
      <c r="N237" s="4">
        <f>(Table1[[#This Row],[AAPL.Close]] - Table1[[#This Row],[AAPL.Open]]) /Table1[[#This Row],[AAPL.Open]]</f>
        <v>1.1675147208121834E-2</v>
      </c>
      <c r="O237" s="4" t="str">
        <f>IF(Table1[[#This Row],[AAPL.Close]] &gt; Table1[[#This Row],[AAPL.Open]], "Up", "Down")</f>
        <v>Up</v>
      </c>
      <c r="P237" s="2" t="s">
        <v>10</v>
      </c>
    </row>
    <row r="238" spans="1:16" x14ac:dyDescent="0.35">
      <c r="A238" s="3">
        <v>42531</v>
      </c>
      <c r="B238" s="2" t="str">
        <f>TEXT(Table1[[#This Row],[Date]],"mmm")</f>
        <v>Jun</v>
      </c>
      <c r="C238" s="1">
        <f>YEAR(Table1[[#This Row],[Date]])</f>
        <v>2016</v>
      </c>
      <c r="D238" s="5">
        <v>98.529999000000004</v>
      </c>
      <c r="E238" s="5">
        <v>99.349997999999999</v>
      </c>
      <c r="F238" s="5">
        <v>98.480002999999996</v>
      </c>
      <c r="G238" s="5">
        <v>98.830001999999993</v>
      </c>
      <c r="H238" s="1">
        <v>31712900</v>
      </c>
      <c r="I238">
        <v>97.373231000000004</v>
      </c>
      <c r="J238">
        <v>91.941663289999994</v>
      </c>
      <c r="K238">
        <v>97.218332899999993</v>
      </c>
      <c r="L238">
        <v>102.4950025</v>
      </c>
      <c r="M238" s="5">
        <f>Table1[[#This Row],[AAPL.Close]] -Table1[[#This Row],[AAPL.Open]]</f>
        <v>0.30000299999998958</v>
      </c>
      <c r="N238" s="4">
        <f>(Table1[[#This Row],[AAPL.Close]] - Table1[[#This Row],[AAPL.Open]]) /Table1[[#This Row],[AAPL.Open]]</f>
        <v>3.0447884202250888E-3</v>
      </c>
      <c r="O238" s="4" t="str">
        <f>IF(Table1[[#This Row],[AAPL.Close]] &gt; Table1[[#This Row],[AAPL.Open]], "Up", "Down")</f>
        <v>Up</v>
      </c>
      <c r="P238" s="2" t="s">
        <v>10</v>
      </c>
    </row>
    <row r="239" spans="1:16" x14ac:dyDescent="0.35">
      <c r="A239" s="3">
        <v>42534</v>
      </c>
      <c r="B239" s="2" t="str">
        <f>TEXT(Table1[[#This Row],[Date]],"mmm")</f>
        <v>Jun</v>
      </c>
      <c r="C239" s="1">
        <f>YEAR(Table1[[#This Row],[Date]])</f>
        <v>2016</v>
      </c>
      <c r="D239" s="5">
        <v>98.690002000000007</v>
      </c>
      <c r="E239" s="5">
        <v>99.120002999999997</v>
      </c>
      <c r="F239" s="5">
        <v>97.099997999999999</v>
      </c>
      <c r="G239" s="5">
        <v>97.339995999999999</v>
      </c>
      <c r="H239" s="1">
        <v>38020500</v>
      </c>
      <c r="I239">
        <v>95.905187999999995</v>
      </c>
      <c r="J239">
        <v>93.215971049999993</v>
      </c>
      <c r="K239">
        <v>97.574499599999996</v>
      </c>
      <c r="L239">
        <v>101.9330281</v>
      </c>
      <c r="M239" s="5">
        <f>Table1[[#This Row],[AAPL.Close]] -Table1[[#This Row],[AAPL.Open]]</f>
        <v>-1.3500060000000076</v>
      </c>
      <c r="N239" s="4">
        <f>(Table1[[#This Row],[AAPL.Close]] - Table1[[#This Row],[AAPL.Open]]) /Table1[[#This Row],[AAPL.Open]]</f>
        <v>-1.367925800629741E-2</v>
      </c>
      <c r="O239" s="4" t="str">
        <f>IF(Table1[[#This Row],[AAPL.Close]] &gt; Table1[[#This Row],[AAPL.Open]], "Up", "Down")</f>
        <v>Down</v>
      </c>
      <c r="P239" s="2" t="s">
        <v>11</v>
      </c>
    </row>
    <row r="240" spans="1:16" x14ac:dyDescent="0.35">
      <c r="A240" s="3">
        <v>42535</v>
      </c>
      <c r="B240" s="2" t="str">
        <f>TEXT(Table1[[#This Row],[Date]],"mmm")</f>
        <v>Jun</v>
      </c>
      <c r="C240" s="1">
        <f>YEAR(Table1[[#This Row],[Date]])</f>
        <v>2016</v>
      </c>
      <c r="D240" s="5">
        <v>97.32</v>
      </c>
      <c r="E240" s="5">
        <v>98.480002999999996</v>
      </c>
      <c r="F240" s="5">
        <v>96.75</v>
      </c>
      <c r="G240" s="5">
        <v>97.459998999999996</v>
      </c>
      <c r="H240" s="1">
        <v>31931900</v>
      </c>
      <c r="I240">
        <v>96.023421999999997</v>
      </c>
      <c r="J240">
        <v>93.892115020000006</v>
      </c>
      <c r="K240">
        <v>97.787333000000004</v>
      </c>
      <c r="L240">
        <v>101.682551</v>
      </c>
      <c r="M240" s="5">
        <f>Table1[[#This Row],[AAPL.Close]] -Table1[[#This Row],[AAPL.Open]]</f>
        <v>0.13999900000000309</v>
      </c>
      <c r="N240" s="4">
        <f>(Table1[[#This Row],[AAPL.Close]] - Table1[[#This Row],[AAPL.Open]]) /Table1[[#This Row],[AAPL.Open]]</f>
        <v>1.4385429510892223E-3</v>
      </c>
      <c r="O240" s="4" t="str">
        <f>IF(Table1[[#This Row],[AAPL.Close]] &gt; Table1[[#This Row],[AAPL.Open]], "Up", "Down")</f>
        <v>Up</v>
      </c>
      <c r="P240" s="2" t="s">
        <v>10</v>
      </c>
    </row>
    <row r="241" spans="1:16" x14ac:dyDescent="0.35">
      <c r="A241" s="3">
        <v>42536</v>
      </c>
      <c r="B241" s="2" t="str">
        <f>TEXT(Table1[[#This Row],[Date]],"mmm")</f>
        <v>Jun</v>
      </c>
      <c r="C241" s="1">
        <f>YEAR(Table1[[#This Row],[Date]])</f>
        <v>2016</v>
      </c>
      <c r="D241" s="5">
        <v>97.82</v>
      </c>
      <c r="E241" s="5">
        <v>98.410004000000001</v>
      </c>
      <c r="F241" s="5">
        <v>97.029999000000004</v>
      </c>
      <c r="G241" s="5">
        <v>97.139999000000003</v>
      </c>
      <c r="H241" s="1">
        <v>29445200</v>
      </c>
      <c r="I241">
        <v>95.708139000000003</v>
      </c>
      <c r="J241">
        <v>94.548379879999999</v>
      </c>
      <c r="K241">
        <v>97.976999750000004</v>
      </c>
      <c r="L241">
        <v>101.40561959999999</v>
      </c>
      <c r="M241" s="5">
        <f>Table1[[#This Row],[AAPL.Close]] -Table1[[#This Row],[AAPL.Open]]</f>
        <v>-0.68000099999999009</v>
      </c>
      <c r="N241" s="4">
        <f>(Table1[[#This Row],[AAPL.Close]] - Table1[[#This Row],[AAPL.Open]]) /Table1[[#This Row],[AAPL.Open]]</f>
        <v>-6.951553874463199E-3</v>
      </c>
      <c r="O241" s="4" t="str">
        <f>IF(Table1[[#This Row],[AAPL.Close]] &gt; Table1[[#This Row],[AAPL.Open]], "Up", "Down")</f>
        <v>Down</v>
      </c>
      <c r="P241" s="2" t="s">
        <v>11</v>
      </c>
    </row>
    <row r="242" spans="1:16" x14ac:dyDescent="0.35">
      <c r="A242" s="3">
        <v>42537</v>
      </c>
      <c r="B242" s="2" t="str">
        <f>TEXT(Table1[[#This Row],[Date]],"mmm")</f>
        <v>Jun</v>
      </c>
      <c r="C242" s="1">
        <f>YEAR(Table1[[#This Row],[Date]])</f>
        <v>2016</v>
      </c>
      <c r="D242" s="5">
        <v>96.449996999999996</v>
      </c>
      <c r="E242" s="5">
        <v>97.75</v>
      </c>
      <c r="F242" s="5">
        <v>96.07</v>
      </c>
      <c r="G242" s="5">
        <v>97.550003000000004</v>
      </c>
      <c r="H242" s="1">
        <v>31326800</v>
      </c>
      <c r="I242">
        <v>96.112099999999998</v>
      </c>
      <c r="J242">
        <v>95.02478017</v>
      </c>
      <c r="K242">
        <v>98.105499870000003</v>
      </c>
      <c r="L242">
        <v>101.1862196</v>
      </c>
      <c r="M242" s="5">
        <f>Table1[[#This Row],[AAPL.Close]] -Table1[[#This Row],[AAPL.Open]]</f>
        <v>1.1000060000000076</v>
      </c>
      <c r="N242" s="4">
        <f>(Table1[[#This Row],[AAPL.Close]] - Table1[[#This Row],[AAPL.Open]]) /Table1[[#This Row],[AAPL.Open]]</f>
        <v>1.1404935554326742E-2</v>
      </c>
      <c r="O242" s="4" t="str">
        <f>IF(Table1[[#This Row],[AAPL.Close]] &gt; Table1[[#This Row],[AAPL.Open]], "Up", "Down")</f>
        <v>Up</v>
      </c>
      <c r="P242" s="2" t="s">
        <v>10</v>
      </c>
    </row>
    <row r="243" spans="1:16" x14ac:dyDescent="0.35">
      <c r="A243" s="3">
        <v>42538</v>
      </c>
      <c r="B243" s="2" t="str">
        <f>TEXT(Table1[[#This Row],[Date]],"mmm")</f>
        <v>Jun</v>
      </c>
      <c r="C243" s="1">
        <f>YEAR(Table1[[#This Row],[Date]])</f>
        <v>2016</v>
      </c>
      <c r="D243" s="5">
        <v>96.620002999999997</v>
      </c>
      <c r="E243" s="5">
        <v>96.650002000000001</v>
      </c>
      <c r="F243" s="5">
        <v>95.300003000000004</v>
      </c>
      <c r="G243" s="5">
        <v>95.330001999999993</v>
      </c>
      <c r="H243" s="1">
        <v>61008200</v>
      </c>
      <c r="I243">
        <v>93.924820999999994</v>
      </c>
      <c r="J243">
        <v>95.463722750000002</v>
      </c>
      <c r="K243">
        <v>98.186666720000005</v>
      </c>
      <c r="L243">
        <v>100.9096107</v>
      </c>
      <c r="M243" s="5">
        <f>Table1[[#This Row],[AAPL.Close]] -Table1[[#This Row],[AAPL.Open]]</f>
        <v>-1.2900010000000037</v>
      </c>
      <c r="N243" s="4">
        <f>(Table1[[#This Row],[AAPL.Close]] - Table1[[#This Row],[AAPL.Open]]) /Table1[[#This Row],[AAPL.Open]]</f>
        <v>-1.3351282963632321E-2</v>
      </c>
      <c r="O243" s="4" t="str">
        <f>IF(Table1[[#This Row],[AAPL.Close]] &gt; Table1[[#This Row],[AAPL.Open]], "Up", "Down")</f>
        <v>Down</v>
      </c>
      <c r="P243" s="2" t="s">
        <v>11</v>
      </c>
    </row>
    <row r="244" spans="1:16" x14ac:dyDescent="0.35">
      <c r="A244" s="3">
        <v>42541</v>
      </c>
      <c r="B244" s="2" t="str">
        <f>TEXT(Table1[[#This Row],[Date]],"mmm")</f>
        <v>Jun</v>
      </c>
      <c r="C244" s="1">
        <f>YEAR(Table1[[#This Row],[Date]])</f>
        <v>2016</v>
      </c>
      <c r="D244" s="5">
        <v>96</v>
      </c>
      <c r="E244" s="5">
        <v>96.57</v>
      </c>
      <c r="F244" s="5">
        <v>95.029999000000004</v>
      </c>
      <c r="G244" s="5">
        <v>95.099997999999999</v>
      </c>
      <c r="H244" s="1">
        <v>34411900</v>
      </c>
      <c r="I244">
        <v>93.698207999999994</v>
      </c>
      <c r="J244">
        <v>95.599634769999994</v>
      </c>
      <c r="K244">
        <v>98.212166699999997</v>
      </c>
      <c r="L244">
        <v>100.8246986</v>
      </c>
      <c r="M244" s="5">
        <f>Table1[[#This Row],[AAPL.Close]] -Table1[[#This Row],[AAPL.Open]]</f>
        <v>-0.90000200000000063</v>
      </c>
      <c r="N244" s="4">
        <f>(Table1[[#This Row],[AAPL.Close]] - Table1[[#This Row],[AAPL.Open]]) /Table1[[#This Row],[AAPL.Open]]</f>
        <v>-9.3750208333333394E-3</v>
      </c>
      <c r="O244" s="4" t="str">
        <f>IF(Table1[[#This Row],[AAPL.Close]] &gt; Table1[[#This Row],[AAPL.Open]], "Up", "Down")</f>
        <v>Down</v>
      </c>
      <c r="P244" s="2" t="s">
        <v>11</v>
      </c>
    </row>
    <row r="245" spans="1:16" x14ac:dyDescent="0.35">
      <c r="A245" s="3">
        <v>42542</v>
      </c>
      <c r="B245" s="2" t="str">
        <f>TEXT(Table1[[#This Row],[Date]],"mmm")</f>
        <v>Jun</v>
      </c>
      <c r="C245" s="1">
        <f>YEAR(Table1[[#This Row],[Date]])</f>
        <v>2016</v>
      </c>
      <c r="D245" s="5">
        <v>94.940002000000007</v>
      </c>
      <c r="E245" s="5">
        <v>96.349997999999999</v>
      </c>
      <c r="F245" s="5">
        <v>94.68</v>
      </c>
      <c r="G245" s="5">
        <v>95.910004000000001</v>
      </c>
      <c r="H245" s="1">
        <v>35546400</v>
      </c>
      <c r="I245">
        <v>94.496274</v>
      </c>
      <c r="J245">
        <v>95.434328719999996</v>
      </c>
      <c r="K245">
        <v>98.173000070000001</v>
      </c>
      <c r="L245">
        <v>100.9116714</v>
      </c>
      <c r="M245" s="5">
        <f>Table1[[#This Row],[AAPL.Close]] -Table1[[#This Row],[AAPL.Open]]</f>
        <v>0.97000199999999381</v>
      </c>
      <c r="N245" s="4">
        <f>(Table1[[#This Row],[AAPL.Close]] - Table1[[#This Row],[AAPL.Open]]) /Table1[[#This Row],[AAPL.Open]]</f>
        <v>1.0216999995428626E-2</v>
      </c>
      <c r="O245" s="4" t="str">
        <f>IF(Table1[[#This Row],[AAPL.Close]] &gt; Table1[[#This Row],[AAPL.Open]], "Up", "Down")</f>
        <v>Up</v>
      </c>
      <c r="P245" s="2" t="s">
        <v>10</v>
      </c>
    </row>
    <row r="246" spans="1:16" x14ac:dyDescent="0.35">
      <c r="A246" s="3">
        <v>42543</v>
      </c>
      <c r="B246" s="2" t="str">
        <f>TEXT(Table1[[#This Row],[Date]],"mmm")</f>
        <v>Jun</v>
      </c>
      <c r="C246" s="1">
        <f>YEAR(Table1[[#This Row],[Date]])</f>
        <v>2016</v>
      </c>
      <c r="D246" s="5">
        <v>96.25</v>
      </c>
      <c r="E246" s="5">
        <v>96.889999000000003</v>
      </c>
      <c r="F246" s="5">
        <v>95.349997999999999</v>
      </c>
      <c r="G246" s="5">
        <v>95.550003000000004</v>
      </c>
      <c r="H246" s="1">
        <v>29219100</v>
      </c>
      <c r="I246">
        <v>94.141580000000005</v>
      </c>
      <c r="J246">
        <v>95.188153330000006</v>
      </c>
      <c r="K246">
        <v>98.089000170000006</v>
      </c>
      <c r="L246">
        <v>100.989847</v>
      </c>
      <c r="M246" s="5">
        <f>Table1[[#This Row],[AAPL.Close]] -Table1[[#This Row],[AAPL.Open]]</f>
        <v>-0.69999699999999621</v>
      </c>
      <c r="N246" s="4">
        <f>(Table1[[#This Row],[AAPL.Close]] - Table1[[#This Row],[AAPL.Open]]) /Table1[[#This Row],[AAPL.Open]]</f>
        <v>-7.2726961038960649E-3</v>
      </c>
      <c r="O246" s="4" t="str">
        <f>IF(Table1[[#This Row],[AAPL.Close]] &gt; Table1[[#This Row],[AAPL.Open]], "Up", "Down")</f>
        <v>Down</v>
      </c>
      <c r="P246" s="2" t="s">
        <v>11</v>
      </c>
    </row>
    <row r="247" spans="1:16" x14ac:dyDescent="0.35">
      <c r="A247" s="3">
        <v>42544</v>
      </c>
      <c r="B247" s="2" t="str">
        <f>TEXT(Table1[[#This Row],[Date]],"mmm")</f>
        <v>Jun</v>
      </c>
      <c r="C247" s="1">
        <f>YEAR(Table1[[#This Row],[Date]])</f>
        <v>2016</v>
      </c>
      <c r="D247" s="5">
        <v>95.940002000000007</v>
      </c>
      <c r="E247" s="5">
        <v>96.290001000000004</v>
      </c>
      <c r="F247" s="5">
        <v>95.25</v>
      </c>
      <c r="G247" s="5">
        <v>96.099997999999999</v>
      </c>
      <c r="H247" s="1">
        <v>32240200</v>
      </c>
      <c r="I247">
        <v>94.683468000000005</v>
      </c>
      <c r="J247">
        <v>94.915930849999995</v>
      </c>
      <c r="K247">
        <v>97.925166779999998</v>
      </c>
      <c r="L247">
        <v>100.93440270000001</v>
      </c>
      <c r="M247" s="5">
        <f>Table1[[#This Row],[AAPL.Close]] -Table1[[#This Row],[AAPL.Open]]</f>
        <v>0.15999599999999248</v>
      </c>
      <c r="N247" s="4">
        <f>(Table1[[#This Row],[AAPL.Close]] - Table1[[#This Row],[AAPL.Open]]) /Table1[[#This Row],[AAPL.Open]]</f>
        <v>1.6676672572926616E-3</v>
      </c>
      <c r="O247" s="4" t="str">
        <f>IF(Table1[[#This Row],[AAPL.Close]] &gt; Table1[[#This Row],[AAPL.Open]], "Up", "Down")</f>
        <v>Up</v>
      </c>
      <c r="P247" s="2" t="s">
        <v>10</v>
      </c>
    </row>
    <row r="248" spans="1:16" x14ac:dyDescent="0.35">
      <c r="A248" s="3">
        <v>42545</v>
      </c>
      <c r="B248" s="2" t="str">
        <f>TEXT(Table1[[#This Row],[Date]],"mmm")</f>
        <v>Jun</v>
      </c>
      <c r="C248" s="1">
        <f>YEAR(Table1[[#This Row],[Date]])</f>
        <v>2016</v>
      </c>
      <c r="D248" s="5">
        <v>92.910004000000001</v>
      </c>
      <c r="E248" s="5">
        <v>94.660004000000001</v>
      </c>
      <c r="F248" s="5">
        <v>92.650002000000001</v>
      </c>
      <c r="G248" s="5">
        <v>93.400002000000001</v>
      </c>
      <c r="H248" s="1">
        <v>75311400</v>
      </c>
      <c r="I248">
        <v>92.023269999999997</v>
      </c>
      <c r="J248">
        <v>94.195044249999995</v>
      </c>
      <c r="K248">
        <v>97.607333479999994</v>
      </c>
      <c r="L248">
        <v>101.0196227</v>
      </c>
      <c r="M248" s="5">
        <f>Table1[[#This Row],[AAPL.Close]] -Table1[[#This Row],[AAPL.Open]]</f>
        <v>0.48999799999999993</v>
      </c>
      <c r="N248" s="4">
        <f>(Table1[[#This Row],[AAPL.Close]] - Table1[[#This Row],[AAPL.Open]]) /Table1[[#This Row],[AAPL.Open]]</f>
        <v>5.2738992455537937E-3</v>
      </c>
      <c r="O248" s="4" t="str">
        <f>IF(Table1[[#This Row],[AAPL.Close]] &gt; Table1[[#This Row],[AAPL.Open]], "Up", "Down")</f>
        <v>Up</v>
      </c>
      <c r="P248" s="2" t="s">
        <v>10</v>
      </c>
    </row>
    <row r="249" spans="1:16" x14ac:dyDescent="0.35">
      <c r="A249" s="3">
        <v>42548</v>
      </c>
      <c r="B249" s="2" t="str">
        <f>TEXT(Table1[[#This Row],[Date]],"mmm")</f>
        <v>Jun</v>
      </c>
      <c r="C249" s="1">
        <f>YEAR(Table1[[#This Row],[Date]])</f>
        <v>2016</v>
      </c>
      <c r="D249" s="5">
        <v>93</v>
      </c>
      <c r="E249" s="5">
        <v>93.050003000000004</v>
      </c>
      <c r="F249" s="5">
        <v>91.5</v>
      </c>
      <c r="G249" s="5">
        <v>92.040001000000004</v>
      </c>
      <c r="H249" s="1">
        <v>45489600</v>
      </c>
      <c r="I249">
        <v>90.683316000000005</v>
      </c>
      <c r="J249">
        <v>93.251305990000006</v>
      </c>
      <c r="K249">
        <v>97.216000230000006</v>
      </c>
      <c r="L249">
        <v>101.1806945</v>
      </c>
      <c r="M249" s="5">
        <f>Table1[[#This Row],[AAPL.Close]] -Table1[[#This Row],[AAPL.Open]]</f>
        <v>-0.95999899999999627</v>
      </c>
      <c r="N249" s="4">
        <f>(Table1[[#This Row],[AAPL.Close]] - Table1[[#This Row],[AAPL.Open]]) /Table1[[#This Row],[AAPL.Open]]</f>
        <v>-1.0322569892473078E-2</v>
      </c>
      <c r="O249" s="4" t="str">
        <f>IF(Table1[[#This Row],[AAPL.Close]] &gt; Table1[[#This Row],[AAPL.Open]], "Up", "Down")</f>
        <v>Down</v>
      </c>
      <c r="P249" s="2" t="s">
        <v>11</v>
      </c>
    </row>
    <row r="250" spans="1:16" x14ac:dyDescent="0.35">
      <c r="A250" s="3">
        <v>42549</v>
      </c>
      <c r="B250" s="2" t="str">
        <f>TEXT(Table1[[#This Row],[Date]],"mmm")</f>
        <v>Jun</v>
      </c>
      <c r="C250" s="1">
        <f>YEAR(Table1[[#This Row],[Date]])</f>
        <v>2016</v>
      </c>
      <c r="D250" s="5">
        <v>92.900002000000001</v>
      </c>
      <c r="E250" s="5">
        <v>93.660004000000001</v>
      </c>
      <c r="F250" s="5">
        <v>92.139999000000003</v>
      </c>
      <c r="G250" s="5">
        <v>93.589995999999999</v>
      </c>
      <c r="H250" s="1">
        <v>40444900</v>
      </c>
      <c r="I250">
        <v>92.210464000000002</v>
      </c>
      <c r="J250">
        <v>92.716542320000002</v>
      </c>
      <c r="K250">
        <v>96.887833499999999</v>
      </c>
      <c r="L250">
        <v>101.0591247</v>
      </c>
      <c r="M250" s="5">
        <f>Table1[[#This Row],[AAPL.Close]] -Table1[[#This Row],[AAPL.Open]]</f>
        <v>0.68999399999999866</v>
      </c>
      <c r="N250" s="4">
        <f>(Table1[[#This Row],[AAPL.Close]] - Table1[[#This Row],[AAPL.Open]]) /Table1[[#This Row],[AAPL.Open]]</f>
        <v>7.4272764816517298E-3</v>
      </c>
      <c r="O250" s="4" t="str">
        <f>IF(Table1[[#This Row],[AAPL.Close]] &gt; Table1[[#This Row],[AAPL.Open]], "Up", "Down")</f>
        <v>Up</v>
      </c>
      <c r="P250" s="2" t="s">
        <v>10</v>
      </c>
    </row>
    <row r="251" spans="1:16" x14ac:dyDescent="0.35">
      <c r="A251" s="3">
        <v>42550</v>
      </c>
      <c r="B251" s="2" t="str">
        <f>TEXT(Table1[[#This Row],[Date]],"mmm")</f>
        <v>Jun</v>
      </c>
      <c r="C251" s="1">
        <f>YEAR(Table1[[#This Row],[Date]])</f>
        <v>2016</v>
      </c>
      <c r="D251" s="5">
        <v>93.970000999999996</v>
      </c>
      <c r="E251" s="5">
        <v>94.550003000000004</v>
      </c>
      <c r="F251" s="5">
        <v>93.629997000000003</v>
      </c>
      <c r="G251" s="5">
        <v>94.400002000000001</v>
      </c>
      <c r="H251" s="1">
        <v>36531000</v>
      </c>
      <c r="I251">
        <v>93.008529999999993</v>
      </c>
      <c r="J251">
        <v>92.424504870000007</v>
      </c>
      <c r="K251">
        <v>96.658666830000001</v>
      </c>
      <c r="L251">
        <v>100.8928288</v>
      </c>
      <c r="M251" s="5">
        <f>Table1[[#This Row],[AAPL.Close]] -Table1[[#This Row],[AAPL.Open]]</f>
        <v>0.4300010000000043</v>
      </c>
      <c r="N251" s="4">
        <f>(Table1[[#This Row],[AAPL.Close]] - Table1[[#This Row],[AAPL.Open]]) /Table1[[#This Row],[AAPL.Open]]</f>
        <v>4.5759390808137197E-3</v>
      </c>
      <c r="O251" s="4" t="str">
        <f>IF(Table1[[#This Row],[AAPL.Close]] &gt; Table1[[#This Row],[AAPL.Open]], "Up", "Down")</f>
        <v>Up</v>
      </c>
      <c r="P251" s="2" t="s">
        <v>10</v>
      </c>
    </row>
    <row r="252" spans="1:16" x14ac:dyDescent="0.35">
      <c r="A252" s="3">
        <v>42551</v>
      </c>
      <c r="B252" s="2" t="str">
        <f>TEXT(Table1[[#This Row],[Date]],"mmm")</f>
        <v>Jun</v>
      </c>
      <c r="C252" s="1">
        <f>YEAR(Table1[[#This Row],[Date]])</f>
        <v>2016</v>
      </c>
      <c r="D252" s="5">
        <v>94.440002000000007</v>
      </c>
      <c r="E252" s="5">
        <v>95.769997000000004</v>
      </c>
      <c r="F252" s="5">
        <v>94.300003000000004</v>
      </c>
      <c r="G252" s="5">
        <v>95.599997999999999</v>
      </c>
      <c r="H252" s="1">
        <v>35836400</v>
      </c>
      <c r="I252">
        <v>94.190837999999999</v>
      </c>
      <c r="J252">
        <v>92.285729790000005</v>
      </c>
      <c r="K252">
        <v>96.550000229999995</v>
      </c>
      <c r="L252">
        <v>100.81427069999999</v>
      </c>
      <c r="M252" s="5">
        <f>Table1[[#This Row],[AAPL.Close]] -Table1[[#This Row],[AAPL.Open]]</f>
        <v>1.1599959999999925</v>
      </c>
      <c r="N252" s="4">
        <f>(Table1[[#This Row],[AAPL.Close]] - Table1[[#This Row],[AAPL.Open]]) /Table1[[#This Row],[AAPL.Open]]</f>
        <v>1.2282888346402114E-2</v>
      </c>
      <c r="O252" s="4" t="str">
        <f>IF(Table1[[#This Row],[AAPL.Close]] &gt; Table1[[#This Row],[AAPL.Open]], "Up", "Down")</f>
        <v>Up</v>
      </c>
      <c r="P252" s="2" t="s">
        <v>10</v>
      </c>
    </row>
    <row r="253" spans="1:16" x14ac:dyDescent="0.35">
      <c r="A253" s="3">
        <v>42186</v>
      </c>
      <c r="B253" s="2" t="str">
        <f>TEXT(Table1[[#This Row],[Date]],"mmm")</f>
        <v>Jul</v>
      </c>
      <c r="C253" s="1">
        <f>YEAR(Table1[[#This Row],[Date]])</f>
        <v>2015</v>
      </c>
      <c r="D253" s="5">
        <v>126.900002</v>
      </c>
      <c r="E253" s="5">
        <v>126.94000200000001</v>
      </c>
      <c r="F253" s="5">
        <v>125.989998</v>
      </c>
      <c r="G253" s="5">
        <v>126.599998</v>
      </c>
      <c r="H253" s="1">
        <v>30238800</v>
      </c>
      <c r="I253">
        <v>122.231083</v>
      </c>
      <c r="J253">
        <v>125.319636</v>
      </c>
      <c r="K253">
        <v>127.50749999999999</v>
      </c>
      <c r="L253">
        <v>129.69536389999999</v>
      </c>
      <c r="M253" s="5">
        <f>Table1[[#This Row],[AAPL.Close]] -Table1[[#This Row],[AAPL.Open]]</f>
        <v>-0.30000400000000127</v>
      </c>
      <c r="N253" s="4">
        <f>(Table1[[#This Row],[AAPL.Close]] - Table1[[#This Row],[AAPL.Open]]) /Table1[[#This Row],[AAPL.Open]]</f>
        <v>-2.3640976774767998E-3</v>
      </c>
      <c r="O253" s="4" t="str">
        <f>IF(Table1[[#This Row],[AAPL.Close]] &gt; Table1[[#This Row],[AAPL.Open]], "Up", "Down")</f>
        <v>Down</v>
      </c>
      <c r="P253" s="2" t="s">
        <v>11</v>
      </c>
    </row>
    <row r="254" spans="1:16" x14ac:dyDescent="0.35">
      <c r="A254" s="3">
        <v>42187</v>
      </c>
      <c r="B254" s="2" t="str">
        <f>TEXT(Table1[[#This Row],[Date]],"mmm")</f>
        <v>Jul</v>
      </c>
      <c r="C254" s="1">
        <f>YEAR(Table1[[#This Row],[Date]])</f>
        <v>2015</v>
      </c>
      <c r="D254" s="5">
        <v>126.43</v>
      </c>
      <c r="E254" s="5">
        <v>126.69000200000001</v>
      </c>
      <c r="F254" s="5">
        <v>125.769997</v>
      </c>
      <c r="G254" s="5">
        <v>126.44000200000001</v>
      </c>
      <c r="H254" s="1">
        <v>27211000</v>
      </c>
      <c r="I254">
        <v>122.076609</v>
      </c>
      <c r="J254">
        <v>125.3221027</v>
      </c>
      <c r="K254">
        <v>127.3416666</v>
      </c>
      <c r="L254">
        <v>129.36123040000001</v>
      </c>
      <c r="M254" s="5">
        <f>Table1[[#This Row],[AAPL.Close]] -Table1[[#This Row],[AAPL.Open]]</f>
        <v>1.0002000000000066E-2</v>
      </c>
      <c r="N254" s="4">
        <f>(Table1[[#This Row],[AAPL.Close]] - Table1[[#This Row],[AAPL.Open]]) /Table1[[#This Row],[AAPL.Open]]</f>
        <v>7.9110970497509023E-5</v>
      </c>
      <c r="O254" s="4" t="str">
        <f>IF(Table1[[#This Row],[AAPL.Close]] &gt; Table1[[#This Row],[AAPL.Open]], "Up", "Down")</f>
        <v>Up</v>
      </c>
      <c r="P254" s="2" t="s">
        <v>10</v>
      </c>
    </row>
    <row r="255" spans="1:16" x14ac:dyDescent="0.35">
      <c r="A255" s="3">
        <v>42191</v>
      </c>
      <c r="B255" s="2" t="str">
        <f>TEXT(Table1[[#This Row],[Date]],"mmm")</f>
        <v>Jul</v>
      </c>
      <c r="C255" s="1">
        <f>YEAR(Table1[[#This Row],[Date]])</f>
        <v>2015</v>
      </c>
      <c r="D255" s="5">
        <v>124.94000200000001</v>
      </c>
      <c r="E255" s="5">
        <v>126.230003</v>
      </c>
      <c r="F255" s="5">
        <v>124.849998</v>
      </c>
      <c r="G255" s="5">
        <v>126</v>
      </c>
      <c r="H255" s="1">
        <v>28060400</v>
      </c>
      <c r="I255">
        <v>121.65179000000001</v>
      </c>
      <c r="J255">
        <v>125.172968</v>
      </c>
      <c r="K255">
        <v>127.18133330000001</v>
      </c>
      <c r="L255">
        <v>129.18969860000001</v>
      </c>
      <c r="M255" s="5">
        <f>Table1[[#This Row],[AAPL.Close]] -Table1[[#This Row],[AAPL.Open]]</f>
        <v>1.0599979999999931</v>
      </c>
      <c r="N255" s="4">
        <f>(Table1[[#This Row],[AAPL.Close]] - Table1[[#This Row],[AAPL.Open]]) /Table1[[#This Row],[AAPL.Open]]</f>
        <v>8.4840562112364383E-3</v>
      </c>
      <c r="O255" s="4" t="str">
        <f>IF(Table1[[#This Row],[AAPL.Close]] &gt; Table1[[#This Row],[AAPL.Open]], "Up", "Down")</f>
        <v>Up</v>
      </c>
      <c r="P255" s="2" t="s">
        <v>10</v>
      </c>
    </row>
    <row r="256" spans="1:16" x14ac:dyDescent="0.35">
      <c r="A256" s="3">
        <v>42192</v>
      </c>
      <c r="B256" s="2" t="str">
        <f>TEXT(Table1[[#This Row],[Date]],"mmm")</f>
        <v>Jul</v>
      </c>
      <c r="C256" s="1">
        <f>YEAR(Table1[[#This Row],[Date]])</f>
        <v>2015</v>
      </c>
      <c r="D256" s="5">
        <v>125.889999</v>
      </c>
      <c r="E256" s="5">
        <v>126.150002</v>
      </c>
      <c r="F256" s="5">
        <v>123.769997</v>
      </c>
      <c r="G256" s="5">
        <v>125.69000200000001</v>
      </c>
      <c r="H256" s="1">
        <v>46946800</v>
      </c>
      <c r="I256">
        <v>121.352491</v>
      </c>
      <c r="J256">
        <v>124.89390589999999</v>
      </c>
      <c r="K256">
        <v>127.04416639999999</v>
      </c>
      <c r="L256">
        <v>129.19442699999999</v>
      </c>
      <c r="M256" s="5">
        <f>Table1[[#This Row],[AAPL.Close]] -Table1[[#This Row],[AAPL.Open]]</f>
        <v>-0.19999699999999621</v>
      </c>
      <c r="N256" s="4">
        <f>(Table1[[#This Row],[AAPL.Close]] - Table1[[#This Row],[AAPL.Open]]) /Table1[[#This Row],[AAPL.Open]]</f>
        <v>-1.5886647199035739E-3</v>
      </c>
      <c r="O256" s="4" t="str">
        <f>IF(Table1[[#This Row],[AAPL.Close]] &gt; Table1[[#This Row],[AAPL.Open]], "Up", "Down")</f>
        <v>Down</v>
      </c>
      <c r="P256" s="2" t="s">
        <v>11</v>
      </c>
    </row>
    <row r="257" spans="1:16" x14ac:dyDescent="0.35">
      <c r="A257" s="3">
        <v>42193</v>
      </c>
      <c r="B257" s="2" t="str">
        <f>TEXT(Table1[[#This Row],[Date]],"mmm")</f>
        <v>Jul</v>
      </c>
      <c r="C257" s="1">
        <f>YEAR(Table1[[#This Row],[Date]])</f>
        <v>2015</v>
      </c>
      <c r="D257" s="5">
        <v>124.480003</v>
      </c>
      <c r="E257" s="5">
        <v>124.639999</v>
      </c>
      <c r="F257" s="5">
        <v>122.540001</v>
      </c>
      <c r="G257" s="5">
        <v>122.57</v>
      </c>
      <c r="H257" s="1">
        <v>60761600</v>
      </c>
      <c r="I257">
        <v>118.340158</v>
      </c>
      <c r="J257">
        <v>124.1418974</v>
      </c>
      <c r="K257">
        <v>126.8546664</v>
      </c>
      <c r="L257">
        <v>129.56743539999999</v>
      </c>
      <c r="M257" s="5">
        <f>Table1[[#This Row],[AAPL.Close]] -Table1[[#This Row],[AAPL.Open]]</f>
        <v>-1.9100030000000032</v>
      </c>
      <c r="N257" s="4">
        <f>(Table1[[#This Row],[AAPL.Close]] - Table1[[#This Row],[AAPL.Open]]) /Table1[[#This Row],[AAPL.Open]]</f>
        <v>-1.5343854064656499E-2</v>
      </c>
      <c r="O257" s="4" t="str">
        <f>IF(Table1[[#This Row],[AAPL.Close]] &gt; Table1[[#This Row],[AAPL.Open]], "Up", "Down")</f>
        <v>Down</v>
      </c>
      <c r="P257" s="2" t="s">
        <v>11</v>
      </c>
    </row>
    <row r="258" spans="1:16" x14ac:dyDescent="0.35">
      <c r="A258" s="3">
        <v>42194</v>
      </c>
      <c r="B258" s="2" t="str">
        <f>TEXT(Table1[[#This Row],[Date]],"mmm")</f>
        <v>Jul</v>
      </c>
      <c r="C258" s="1">
        <f>YEAR(Table1[[#This Row],[Date]])</f>
        <v>2015</v>
      </c>
      <c r="D258" s="5">
        <v>123.849998</v>
      </c>
      <c r="E258" s="5">
        <v>124.05999799999999</v>
      </c>
      <c r="F258" s="5">
        <v>119.220001</v>
      </c>
      <c r="G258" s="5">
        <v>120.07</v>
      </c>
      <c r="H258" s="1">
        <v>77821600</v>
      </c>
      <c r="I258">
        <v>115.92643200000001</v>
      </c>
      <c r="J258">
        <v>122.9127426</v>
      </c>
      <c r="K258">
        <v>126.4759997</v>
      </c>
      <c r="L258">
        <v>130.0392568</v>
      </c>
      <c r="M258" s="5">
        <f>Table1[[#This Row],[AAPL.Close]] -Table1[[#This Row],[AAPL.Open]]</f>
        <v>-3.7799980000000062</v>
      </c>
      <c r="N258" s="4">
        <f>(Table1[[#This Row],[AAPL.Close]] - Table1[[#This Row],[AAPL.Open]]) /Table1[[#This Row],[AAPL.Open]]</f>
        <v>-3.0520775624073938E-2</v>
      </c>
      <c r="O258" s="4" t="str">
        <f>IF(Table1[[#This Row],[AAPL.Close]] &gt; Table1[[#This Row],[AAPL.Open]], "Up", "Down")</f>
        <v>Down</v>
      </c>
      <c r="P258" s="2" t="s">
        <v>11</v>
      </c>
    </row>
    <row r="259" spans="1:16" x14ac:dyDescent="0.35">
      <c r="A259" s="3">
        <v>42195</v>
      </c>
      <c r="B259" s="2" t="str">
        <f>TEXT(Table1[[#This Row],[Date]],"mmm")</f>
        <v>Jul</v>
      </c>
      <c r="C259" s="1">
        <f>YEAR(Table1[[#This Row],[Date]])</f>
        <v>2015</v>
      </c>
      <c r="D259" s="5">
        <v>121.94000200000001</v>
      </c>
      <c r="E259" s="5">
        <v>123.849998</v>
      </c>
      <c r="F259" s="5">
        <v>121.209999</v>
      </c>
      <c r="G259" s="5">
        <v>123.279999</v>
      </c>
      <c r="H259" s="1">
        <v>61354500</v>
      </c>
      <c r="I259">
        <v>119.025655</v>
      </c>
      <c r="J259">
        <v>122.4632754</v>
      </c>
      <c r="K259">
        <v>126.1608332</v>
      </c>
      <c r="L259">
        <v>129.85839110000001</v>
      </c>
      <c r="M259" s="5">
        <f>Table1[[#This Row],[AAPL.Close]] -Table1[[#This Row],[AAPL.Open]]</f>
        <v>1.3399969999999968</v>
      </c>
      <c r="N259" s="4">
        <f>(Table1[[#This Row],[AAPL.Close]] - Table1[[#This Row],[AAPL.Open]]) /Table1[[#This Row],[AAPL.Open]]</f>
        <v>1.0988986206511599E-2</v>
      </c>
      <c r="O259" s="4" t="str">
        <f>IF(Table1[[#This Row],[AAPL.Close]] &gt; Table1[[#This Row],[AAPL.Open]], "Up", "Down")</f>
        <v>Up</v>
      </c>
      <c r="P259" s="2" t="s">
        <v>10</v>
      </c>
    </row>
    <row r="260" spans="1:16" x14ac:dyDescent="0.35">
      <c r="A260" s="3">
        <v>42198</v>
      </c>
      <c r="B260" s="2" t="str">
        <f>TEXT(Table1[[#This Row],[Date]],"mmm")</f>
        <v>Jul</v>
      </c>
      <c r="C260" s="1">
        <f>YEAR(Table1[[#This Row],[Date]])</f>
        <v>2015</v>
      </c>
      <c r="D260" s="5">
        <v>125.029999</v>
      </c>
      <c r="E260" s="5">
        <v>125.760002</v>
      </c>
      <c r="F260" s="5">
        <v>124.32</v>
      </c>
      <c r="G260" s="5">
        <v>125.660004</v>
      </c>
      <c r="H260" s="1">
        <v>41440500</v>
      </c>
      <c r="I260">
        <v>121.323527</v>
      </c>
      <c r="J260">
        <v>122.3846331</v>
      </c>
      <c r="K260">
        <v>126.0463333</v>
      </c>
      <c r="L260">
        <v>129.7080335</v>
      </c>
      <c r="M260" s="5">
        <f>Table1[[#This Row],[AAPL.Close]] -Table1[[#This Row],[AAPL.Open]]</f>
        <v>0.63000499999999704</v>
      </c>
      <c r="N260" s="4">
        <f>(Table1[[#This Row],[AAPL.Close]] - Table1[[#This Row],[AAPL.Open]]) /Table1[[#This Row],[AAPL.Open]]</f>
        <v>5.0388307209375972E-3</v>
      </c>
      <c r="O260" s="4" t="str">
        <f>IF(Table1[[#This Row],[AAPL.Close]] &gt; Table1[[#This Row],[AAPL.Open]], "Up", "Down")</f>
        <v>Up</v>
      </c>
      <c r="P260" s="2" t="s">
        <v>10</v>
      </c>
    </row>
    <row r="261" spans="1:16" x14ac:dyDescent="0.35">
      <c r="A261" s="3">
        <v>42199</v>
      </c>
      <c r="B261" s="2" t="str">
        <f>TEXT(Table1[[#This Row],[Date]],"mmm")</f>
        <v>Jul</v>
      </c>
      <c r="C261" s="1">
        <f>YEAR(Table1[[#This Row],[Date]])</f>
        <v>2015</v>
      </c>
      <c r="D261" s="5">
        <v>126.040001</v>
      </c>
      <c r="E261" s="5">
        <v>126.370003</v>
      </c>
      <c r="F261" s="5">
        <v>125.040001</v>
      </c>
      <c r="G261" s="5">
        <v>125.610001</v>
      </c>
      <c r="H261" s="1">
        <v>31768100</v>
      </c>
      <c r="I261">
        <v>121.27525</v>
      </c>
      <c r="J261">
        <v>122.343664</v>
      </c>
      <c r="K261">
        <v>125.9988335</v>
      </c>
      <c r="L261">
        <v>129.65400289999999</v>
      </c>
      <c r="M261" s="5">
        <f>Table1[[#This Row],[AAPL.Close]] -Table1[[#This Row],[AAPL.Open]]</f>
        <v>-0.43000000000000682</v>
      </c>
      <c r="N261" s="4">
        <f>(Table1[[#This Row],[AAPL.Close]] - Table1[[#This Row],[AAPL.Open]]) /Table1[[#This Row],[AAPL.Open]]</f>
        <v>-3.4116153331354448E-3</v>
      </c>
      <c r="O261" s="4" t="str">
        <f>IF(Table1[[#This Row],[AAPL.Close]] &gt; Table1[[#This Row],[AAPL.Open]], "Up", "Down")</f>
        <v>Down</v>
      </c>
      <c r="P261" s="2" t="s">
        <v>11</v>
      </c>
    </row>
    <row r="262" spans="1:16" x14ac:dyDescent="0.35">
      <c r="A262" s="3">
        <v>42200</v>
      </c>
      <c r="B262" s="2" t="str">
        <f>TEXT(Table1[[#This Row],[Date]],"mmm")</f>
        <v>Jul</v>
      </c>
      <c r="C262" s="1">
        <f>YEAR(Table1[[#This Row],[Date]])</f>
        <v>2015</v>
      </c>
      <c r="D262" s="5">
        <v>125.720001</v>
      </c>
      <c r="E262" s="5">
        <v>127.150002</v>
      </c>
      <c r="F262" s="5">
        <v>125.58000199999999</v>
      </c>
      <c r="G262" s="5">
        <v>126.82</v>
      </c>
      <c r="H262" s="1">
        <v>33649200</v>
      </c>
      <c r="I262">
        <v>122.44349200000001</v>
      </c>
      <c r="J262">
        <v>122.3439159</v>
      </c>
      <c r="K262">
        <v>125.9610002</v>
      </c>
      <c r="L262">
        <v>129.57808460000001</v>
      </c>
      <c r="M262" s="5">
        <f>Table1[[#This Row],[AAPL.Close]] -Table1[[#This Row],[AAPL.Open]]</f>
        <v>1.0999989999999968</v>
      </c>
      <c r="N262" s="4">
        <f>(Table1[[#This Row],[AAPL.Close]] - Table1[[#This Row],[AAPL.Open]]) /Table1[[#This Row],[AAPL.Open]]</f>
        <v>8.7495942670251566E-3</v>
      </c>
      <c r="O262" s="4" t="str">
        <f>IF(Table1[[#This Row],[AAPL.Close]] &gt; Table1[[#This Row],[AAPL.Open]], "Up", "Down")</f>
        <v>Up</v>
      </c>
      <c r="P262" s="2" t="s">
        <v>10</v>
      </c>
    </row>
    <row r="263" spans="1:16" x14ac:dyDescent="0.35">
      <c r="A263" s="3">
        <v>42201</v>
      </c>
      <c r="B263" s="2" t="str">
        <f>TEXT(Table1[[#This Row],[Date]],"mmm")</f>
        <v>Jul</v>
      </c>
      <c r="C263" s="1">
        <f>YEAR(Table1[[#This Row],[Date]])</f>
        <v>2015</v>
      </c>
      <c r="D263" s="5">
        <v>127.739998</v>
      </c>
      <c r="E263" s="5">
        <v>128.570007</v>
      </c>
      <c r="F263" s="5">
        <v>127.349998</v>
      </c>
      <c r="G263" s="5">
        <v>128.509995</v>
      </c>
      <c r="H263" s="1">
        <v>36222400</v>
      </c>
      <c r="I263">
        <v>124.075166</v>
      </c>
      <c r="J263">
        <v>122.3059902</v>
      </c>
      <c r="K263">
        <v>126.0028336</v>
      </c>
      <c r="L263">
        <v>129.69967700000001</v>
      </c>
      <c r="M263" s="5">
        <f>Table1[[#This Row],[AAPL.Close]] -Table1[[#This Row],[AAPL.Open]]</f>
        <v>0.7699970000000036</v>
      </c>
      <c r="N263" s="4">
        <f>(Table1[[#This Row],[AAPL.Close]] - Table1[[#This Row],[AAPL.Open]]) /Table1[[#This Row],[AAPL.Open]]</f>
        <v>6.0278457183004152E-3</v>
      </c>
      <c r="O263" s="4" t="str">
        <f>IF(Table1[[#This Row],[AAPL.Close]] &gt; Table1[[#This Row],[AAPL.Open]], "Up", "Down")</f>
        <v>Up</v>
      </c>
      <c r="P263" s="2" t="s">
        <v>10</v>
      </c>
    </row>
    <row r="264" spans="1:16" x14ac:dyDescent="0.35">
      <c r="A264" s="3">
        <v>42202</v>
      </c>
      <c r="B264" s="2" t="str">
        <f>TEXT(Table1[[#This Row],[Date]],"mmm")</f>
        <v>Jul</v>
      </c>
      <c r="C264" s="1">
        <f>YEAR(Table1[[#This Row],[Date]])</f>
        <v>2015</v>
      </c>
      <c r="D264" s="5">
        <v>129.08000200000001</v>
      </c>
      <c r="E264" s="5">
        <v>129.61999499999999</v>
      </c>
      <c r="F264" s="5">
        <v>128.30999800000001</v>
      </c>
      <c r="G264" s="5">
        <v>129.61999499999999</v>
      </c>
      <c r="H264" s="1">
        <v>46164700</v>
      </c>
      <c r="I264">
        <v>125.146861</v>
      </c>
      <c r="J264">
        <v>122.1959647</v>
      </c>
      <c r="K264">
        <v>126.0718335</v>
      </c>
      <c r="L264">
        <v>129.9477023</v>
      </c>
      <c r="M264" s="5">
        <f>Table1[[#This Row],[AAPL.Close]] -Table1[[#This Row],[AAPL.Open]]</f>
        <v>0.53999299999998129</v>
      </c>
      <c r="N264" s="4">
        <f>(Table1[[#This Row],[AAPL.Close]] - Table1[[#This Row],[AAPL.Open]]) /Table1[[#This Row],[AAPL.Open]]</f>
        <v>4.1833978279608433E-3</v>
      </c>
      <c r="O264" s="4" t="str">
        <f>IF(Table1[[#This Row],[AAPL.Close]] &gt; Table1[[#This Row],[AAPL.Open]], "Up", "Down")</f>
        <v>Up</v>
      </c>
      <c r="P264" s="2" t="s">
        <v>10</v>
      </c>
    </row>
    <row r="265" spans="1:16" x14ac:dyDescent="0.35">
      <c r="A265" s="3">
        <v>42205</v>
      </c>
      <c r="B265" s="2" t="str">
        <f>TEXT(Table1[[#This Row],[Date]],"mmm")</f>
        <v>Jul</v>
      </c>
      <c r="C265" s="1">
        <f>YEAR(Table1[[#This Row],[Date]])</f>
        <v>2015</v>
      </c>
      <c r="D265" s="5">
        <v>130.970001</v>
      </c>
      <c r="E265" s="5">
        <v>132.970001</v>
      </c>
      <c r="F265" s="5">
        <v>130.699997</v>
      </c>
      <c r="G265" s="5">
        <v>132.070007</v>
      </c>
      <c r="H265" s="1">
        <v>58900200</v>
      </c>
      <c r="I265">
        <v>127.51232400000001</v>
      </c>
      <c r="J265">
        <v>121.6892041</v>
      </c>
      <c r="K265">
        <v>126.3205002</v>
      </c>
      <c r="L265">
        <v>130.95179630000001</v>
      </c>
      <c r="M265" s="5">
        <f>Table1[[#This Row],[AAPL.Close]] -Table1[[#This Row],[AAPL.Open]]</f>
        <v>1.1000060000000076</v>
      </c>
      <c r="N265" s="4">
        <f>(Table1[[#This Row],[AAPL.Close]] - Table1[[#This Row],[AAPL.Open]]) /Table1[[#This Row],[AAPL.Open]]</f>
        <v>8.3989157181117192E-3</v>
      </c>
      <c r="O265" s="4" t="str">
        <f>IF(Table1[[#This Row],[AAPL.Close]] &gt; Table1[[#This Row],[AAPL.Open]], "Up", "Down")</f>
        <v>Up</v>
      </c>
      <c r="P265" s="2" t="s">
        <v>10</v>
      </c>
    </row>
    <row r="266" spans="1:16" x14ac:dyDescent="0.35">
      <c r="A266" s="3">
        <v>42206</v>
      </c>
      <c r="B266" s="2" t="str">
        <f>TEXT(Table1[[#This Row],[Date]],"mmm")</f>
        <v>Jul</v>
      </c>
      <c r="C266" s="1">
        <f>YEAR(Table1[[#This Row],[Date]])</f>
        <v>2015</v>
      </c>
      <c r="D266" s="5">
        <v>132.85000600000001</v>
      </c>
      <c r="E266" s="5">
        <v>132.91999799999999</v>
      </c>
      <c r="F266" s="5">
        <v>130.320007</v>
      </c>
      <c r="G266" s="5">
        <v>130.75</v>
      </c>
      <c r="H266" s="1">
        <v>76756400</v>
      </c>
      <c r="I266">
        <v>126.23787</v>
      </c>
      <c r="J266">
        <v>121.4079709</v>
      </c>
      <c r="K266">
        <v>126.5078336</v>
      </c>
      <c r="L266">
        <v>131.60769629999999</v>
      </c>
      <c r="M266" s="5">
        <f>Table1[[#This Row],[AAPL.Close]] -Table1[[#This Row],[AAPL.Open]]</f>
        <v>-2.1000060000000076</v>
      </c>
      <c r="N266" s="4">
        <f>(Table1[[#This Row],[AAPL.Close]] - Table1[[#This Row],[AAPL.Open]]) /Table1[[#This Row],[AAPL.Open]]</f>
        <v>-1.5807345917620865E-2</v>
      </c>
      <c r="O266" s="4" t="str">
        <f>IF(Table1[[#This Row],[AAPL.Close]] &gt; Table1[[#This Row],[AAPL.Open]], "Up", "Down")</f>
        <v>Down</v>
      </c>
      <c r="P266" s="2" t="s">
        <v>11</v>
      </c>
    </row>
    <row r="267" spans="1:16" x14ac:dyDescent="0.35">
      <c r="A267" s="3">
        <v>42207</v>
      </c>
      <c r="B267" s="2" t="str">
        <f>TEXT(Table1[[#This Row],[Date]],"mmm")</f>
        <v>Jul</v>
      </c>
      <c r="C267" s="1">
        <f>YEAR(Table1[[#This Row],[Date]])</f>
        <v>2015</v>
      </c>
      <c r="D267" s="5">
        <v>121.989998</v>
      </c>
      <c r="E267" s="5">
        <v>125.5</v>
      </c>
      <c r="F267" s="5">
        <v>121.989998</v>
      </c>
      <c r="G267" s="5">
        <v>125.220001</v>
      </c>
      <c r="H267" s="1">
        <v>115450600</v>
      </c>
      <c r="I267">
        <v>120.898709</v>
      </c>
      <c r="J267">
        <v>121.1778138</v>
      </c>
      <c r="K267">
        <v>126.3610003</v>
      </c>
      <c r="L267">
        <v>131.54418680000001</v>
      </c>
      <c r="M267" s="5">
        <f>Table1[[#This Row],[AAPL.Close]] -Table1[[#This Row],[AAPL.Open]]</f>
        <v>3.2300029999999964</v>
      </c>
      <c r="N267" s="4">
        <f>(Table1[[#This Row],[AAPL.Close]] - Table1[[#This Row],[AAPL.Open]]) /Table1[[#This Row],[AAPL.Open]]</f>
        <v>2.6477605155793154E-2</v>
      </c>
      <c r="O267" s="4" t="str">
        <f>IF(Table1[[#This Row],[AAPL.Close]] &gt; Table1[[#This Row],[AAPL.Open]], "Up", "Down")</f>
        <v>Up</v>
      </c>
      <c r="P267" s="2" t="s">
        <v>10</v>
      </c>
    </row>
    <row r="268" spans="1:16" x14ac:dyDescent="0.35">
      <c r="A268" s="3">
        <v>42208</v>
      </c>
      <c r="B268" s="2" t="str">
        <f>TEXT(Table1[[#This Row],[Date]],"mmm")</f>
        <v>Jul</v>
      </c>
      <c r="C268" s="1">
        <f>YEAR(Table1[[#This Row],[Date]])</f>
        <v>2015</v>
      </c>
      <c r="D268" s="5">
        <v>126.199997</v>
      </c>
      <c r="E268" s="5">
        <v>127.089996</v>
      </c>
      <c r="F268" s="5">
        <v>125.05999799999999</v>
      </c>
      <c r="G268" s="5">
        <v>125.160004</v>
      </c>
      <c r="H268" s="1">
        <v>50999500</v>
      </c>
      <c r="I268">
        <v>120.840782</v>
      </c>
      <c r="J268">
        <v>121.1251692</v>
      </c>
      <c r="K268">
        <v>126.2323335</v>
      </c>
      <c r="L268">
        <v>131.3394978</v>
      </c>
      <c r="M268" s="5">
        <f>Table1[[#This Row],[AAPL.Close]] -Table1[[#This Row],[AAPL.Open]]</f>
        <v>-1.0399929999999955</v>
      </c>
      <c r="N268" s="4">
        <f>(Table1[[#This Row],[AAPL.Close]] - Table1[[#This Row],[AAPL.Open]]) /Table1[[#This Row],[AAPL.Open]]</f>
        <v>-8.2408322085775927E-3</v>
      </c>
      <c r="O268" s="4" t="str">
        <f>IF(Table1[[#This Row],[AAPL.Close]] &gt; Table1[[#This Row],[AAPL.Open]], "Up", "Down")</f>
        <v>Down</v>
      </c>
      <c r="P268" s="2" t="s">
        <v>11</v>
      </c>
    </row>
    <row r="269" spans="1:16" x14ac:dyDescent="0.35">
      <c r="A269" s="3">
        <v>42209</v>
      </c>
      <c r="B269" s="2" t="str">
        <f>TEXT(Table1[[#This Row],[Date]],"mmm")</f>
        <v>Jul</v>
      </c>
      <c r="C269" s="1">
        <f>YEAR(Table1[[#This Row],[Date]])</f>
        <v>2015</v>
      </c>
      <c r="D269" s="5">
        <v>125.32</v>
      </c>
      <c r="E269" s="5">
        <v>125.739998</v>
      </c>
      <c r="F269" s="5">
        <v>123.900002</v>
      </c>
      <c r="G269" s="5">
        <v>124.5</v>
      </c>
      <c r="H269" s="1">
        <v>42162300</v>
      </c>
      <c r="I269">
        <v>120.20355499999999</v>
      </c>
      <c r="J269">
        <v>120.989315</v>
      </c>
      <c r="K269">
        <v>126.06466690000001</v>
      </c>
      <c r="L269">
        <v>131.14001870000001</v>
      </c>
      <c r="M269" s="5">
        <f>Table1[[#This Row],[AAPL.Close]] -Table1[[#This Row],[AAPL.Open]]</f>
        <v>-0.81999999999999318</v>
      </c>
      <c r="N269" s="4">
        <f>(Table1[[#This Row],[AAPL.Close]] - Table1[[#This Row],[AAPL.Open]]) /Table1[[#This Row],[AAPL.Open]]</f>
        <v>-6.543249281838439E-3</v>
      </c>
      <c r="O269" s="4" t="str">
        <f>IF(Table1[[#This Row],[AAPL.Close]] &gt; Table1[[#This Row],[AAPL.Open]], "Up", "Down")</f>
        <v>Down</v>
      </c>
      <c r="P269" s="2" t="s">
        <v>11</v>
      </c>
    </row>
    <row r="270" spans="1:16" x14ac:dyDescent="0.35">
      <c r="A270" s="3">
        <v>42212</v>
      </c>
      <c r="B270" s="2" t="str">
        <f>TEXT(Table1[[#This Row],[Date]],"mmm")</f>
        <v>Jul</v>
      </c>
      <c r="C270" s="1">
        <f>YEAR(Table1[[#This Row],[Date]])</f>
        <v>2015</v>
      </c>
      <c r="D270" s="5">
        <v>123.089996</v>
      </c>
      <c r="E270" s="5">
        <v>123.610001</v>
      </c>
      <c r="F270" s="5">
        <v>122.120003</v>
      </c>
      <c r="G270" s="5">
        <v>122.769997</v>
      </c>
      <c r="H270" s="1">
        <v>44455500</v>
      </c>
      <c r="I270">
        <v>118.533253</v>
      </c>
      <c r="J270">
        <v>120.6120011</v>
      </c>
      <c r="K270">
        <v>125.8521669</v>
      </c>
      <c r="L270">
        <v>131.09233269999999</v>
      </c>
      <c r="M270" s="5">
        <f>Table1[[#This Row],[AAPL.Close]] -Table1[[#This Row],[AAPL.Open]]</f>
        <v>-0.3199989999999957</v>
      </c>
      <c r="N270" s="4">
        <f>(Table1[[#This Row],[AAPL.Close]] - Table1[[#This Row],[AAPL.Open]]) /Table1[[#This Row],[AAPL.Open]]</f>
        <v>-2.5997157396933841E-3</v>
      </c>
      <c r="O270" s="4" t="str">
        <f>IF(Table1[[#This Row],[AAPL.Close]] &gt; Table1[[#This Row],[AAPL.Open]], "Up", "Down")</f>
        <v>Down</v>
      </c>
      <c r="P270" s="2" t="s">
        <v>11</v>
      </c>
    </row>
    <row r="271" spans="1:16" x14ac:dyDescent="0.35">
      <c r="A271" s="3">
        <v>42213</v>
      </c>
      <c r="B271" s="2" t="str">
        <f>TEXT(Table1[[#This Row],[Date]],"mmm")</f>
        <v>Jul</v>
      </c>
      <c r="C271" s="1">
        <f>YEAR(Table1[[#This Row],[Date]])</f>
        <v>2015</v>
      </c>
      <c r="D271" s="5">
        <v>123.379997</v>
      </c>
      <c r="E271" s="5">
        <v>123.910004</v>
      </c>
      <c r="F271" s="5">
        <v>122.550003</v>
      </c>
      <c r="G271" s="5">
        <v>123.379997</v>
      </c>
      <c r="H271" s="1">
        <v>33618100</v>
      </c>
      <c r="I271">
        <v>119.122203</v>
      </c>
      <c r="J271">
        <v>120.4054683</v>
      </c>
      <c r="K271">
        <v>125.75816690000001</v>
      </c>
      <c r="L271">
        <v>131.11086549999999</v>
      </c>
      <c r="M271" s="5">
        <f>Table1[[#This Row],[AAPL.Close]] -Table1[[#This Row],[AAPL.Open]]</f>
        <v>0</v>
      </c>
      <c r="N271" s="4">
        <f>(Table1[[#This Row],[AAPL.Close]] - Table1[[#This Row],[AAPL.Open]]) /Table1[[#This Row],[AAPL.Open]]</f>
        <v>0</v>
      </c>
      <c r="O271" s="4" t="str">
        <f>IF(Table1[[#This Row],[AAPL.Close]] &gt; Table1[[#This Row],[AAPL.Open]], "Up", "Down")</f>
        <v>Down</v>
      </c>
      <c r="P271" s="2" t="s">
        <v>10</v>
      </c>
    </row>
    <row r="272" spans="1:16" x14ac:dyDescent="0.35">
      <c r="A272" s="3">
        <v>42214</v>
      </c>
      <c r="B272" s="2" t="str">
        <f>TEXT(Table1[[#This Row],[Date]],"mmm")</f>
        <v>Jul</v>
      </c>
      <c r="C272" s="1">
        <f>YEAR(Table1[[#This Row],[Date]])</f>
        <v>2015</v>
      </c>
      <c r="D272" s="5">
        <v>123.150002</v>
      </c>
      <c r="E272" s="5">
        <v>123.5</v>
      </c>
      <c r="F272" s="5">
        <v>122.269997</v>
      </c>
      <c r="G272" s="5">
        <v>122.989998</v>
      </c>
      <c r="H272" s="1">
        <v>37011700</v>
      </c>
      <c r="I272">
        <v>118.745662</v>
      </c>
      <c r="J272">
        <v>120.1369622</v>
      </c>
      <c r="K272">
        <v>125.6306668</v>
      </c>
      <c r="L272">
        <v>131.12437130000001</v>
      </c>
      <c r="M272" s="5">
        <f>Table1[[#This Row],[AAPL.Close]] -Table1[[#This Row],[AAPL.Open]]</f>
        <v>-0.1600040000000007</v>
      </c>
      <c r="N272" s="4">
        <f>(Table1[[#This Row],[AAPL.Close]] - Table1[[#This Row],[AAPL.Open]]) /Table1[[#This Row],[AAPL.Open]]</f>
        <v>-1.2992610426429444E-3</v>
      </c>
      <c r="O272" s="4" t="str">
        <f>IF(Table1[[#This Row],[AAPL.Close]] &gt; Table1[[#This Row],[AAPL.Open]], "Up", "Down")</f>
        <v>Down</v>
      </c>
      <c r="P272" s="2" t="s">
        <v>11</v>
      </c>
    </row>
    <row r="273" spans="1:16" x14ac:dyDescent="0.35">
      <c r="A273" s="3">
        <v>42215</v>
      </c>
      <c r="B273" s="2" t="str">
        <f>TEXT(Table1[[#This Row],[Date]],"mmm")</f>
        <v>Jul</v>
      </c>
      <c r="C273" s="1">
        <f>YEAR(Table1[[#This Row],[Date]])</f>
        <v>2015</v>
      </c>
      <c r="D273" s="5">
        <v>122.32</v>
      </c>
      <c r="E273" s="5">
        <v>122.57</v>
      </c>
      <c r="F273" s="5">
        <v>121.709999</v>
      </c>
      <c r="G273" s="5">
        <v>122.370003</v>
      </c>
      <c r="H273" s="1">
        <v>33628300</v>
      </c>
      <c r="I273">
        <v>118.147063</v>
      </c>
      <c r="J273">
        <v>119.74388449999999</v>
      </c>
      <c r="K273">
        <v>125.4160002</v>
      </c>
      <c r="L273">
        <v>131.0881158</v>
      </c>
      <c r="M273" s="5">
        <f>Table1[[#This Row],[AAPL.Close]] -Table1[[#This Row],[AAPL.Open]]</f>
        <v>5.0003000000003794E-2</v>
      </c>
      <c r="N273" s="4">
        <f>(Table1[[#This Row],[AAPL.Close]] - Table1[[#This Row],[AAPL.Open]]) /Table1[[#This Row],[AAPL.Open]]</f>
        <v>4.0878842380644045E-4</v>
      </c>
      <c r="O273" s="4" t="str">
        <f>IF(Table1[[#This Row],[AAPL.Close]] &gt; Table1[[#This Row],[AAPL.Open]], "Up", "Down")</f>
        <v>Up</v>
      </c>
      <c r="P273" s="2" t="s">
        <v>10</v>
      </c>
    </row>
    <row r="274" spans="1:16" x14ac:dyDescent="0.35">
      <c r="A274" s="3">
        <v>42216</v>
      </c>
      <c r="B274" s="2" t="str">
        <f>TEXT(Table1[[#This Row],[Date]],"mmm")</f>
        <v>Jul</v>
      </c>
      <c r="C274" s="1">
        <f>YEAR(Table1[[#This Row],[Date]])</f>
        <v>2015</v>
      </c>
      <c r="D274" s="5">
        <v>122.599998</v>
      </c>
      <c r="E274" s="5">
        <v>122.639999</v>
      </c>
      <c r="F274" s="5">
        <v>120.910004</v>
      </c>
      <c r="G274" s="5">
        <v>121.300003</v>
      </c>
      <c r="H274" s="1">
        <v>42885000</v>
      </c>
      <c r="I274">
        <v>117.113989</v>
      </c>
      <c r="J274">
        <v>119.2924998</v>
      </c>
      <c r="K274">
        <v>125.1818336</v>
      </c>
      <c r="L274">
        <v>131.07116740000001</v>
      </c>
      <c r="M274" s="5">
        <f>Table1[[#This Row],[AAPL.Close]] -Table1[[#This Row],[AAPL.Open]]</f>
        <v>-1.2999949999999956</v>
      </c>
      <c r="N274" s="4">
        <f>(Table1[[#This Row],[AAPL.Close]] - Table1[[#This Row],[AAPL.Open]]) /Table1[[#This Row],[AAPL.Open]]</f>
        <v>-1.0603548296958337E-2</v>
      </c>
      <c r="O274" s="4" t="str">
        <f>IF(Table1[[#This Row],[AAPL.Close]] &gt; Table1[[#This Row],[AAPL.Open]], "Up", "Down")</f>
        <v>Down</v>
      </c>
      <c r="P274" s="2" t="s">
        <v>11</v>
      </c>
    </row>
    <row r="275" spans="1:16" x14ac:dyDescent="0.35">
      <c r="A275" s="3">
        <v>42552</v>
      </c>
      <c r="B275" s="2" t="str">
        <f>TEXT(Table1[[#This Row],[Date]],"mmm")</f>
        <v>Jul</v>
      </c>
      <c r="C275" s="1">
        <f>YEAR(Table1[[#This Row],[Date]])</f>
        <v>2016</v>
      </c>
      <c r="D275" s="5">
        <v>95.489998</v>
      </c>
      <c r="E275" s="5">
        <v>96.470000999999996</v>
      </c>
      <c r="F275" s="5">
        <v>95.330001999999993</v>
      </c>
      <c r="G275" s="5">
        <v>95.889999000000003</v>
      </c>
      <c r="H275" s="1">
        <v>26026500</v>
      </c>
      <c r="I275">
        <v>94.476564999999994</v>
      </c>
      <c r="J275">
        <v>92.222801469999993</v>
      </c>
      <c r="K275">
        <v>96.450833729999999</v>
      </c>
      <c r="L275">
        <v>100.678866</v>
      </c>
      <c r="M275" s="5">
        <f>Table1[[#This Row],[AAPL.Close]] -Table1[[#This Row],[AAPL.Open]]</f>
        <v>0.40000100000000316</v>
      </c>
      <c r="N275" s="4">
        <f>(Table1[[#This Row],[AAPL.Close]] - Table1[[#This Row],[AAPL.Open]]) /Table1[[#This Row],[AAPL.Open]]</f>
        <v>4.1889308658274674E-3</v>
      </c>
      <c r="O275" s="4" t="str">
        <f>IF(Table1[[#This Row],[AAPL.Close]] &gt; Table1[[#This Row],[AAPL.Open]], "Up", "Down")</f>
        <v>Up</v>
      </c>
      <c r="P275" s="2" t="s">
        <v>10</v>
      </c>
    </row>
    <row r="276" spans="1:16" x14ac:dyDescent="0.35">
      <c r="A276" s="3">
        <v>42556</v>
      </c>
      <c r="B276" s="2" t="str">
        <f>TEXT(Table1[[#This Row],[Date]],"mmm")</f>
        <v>Jul</v>
      </c>
      <c r="C276" s="1">
        <f>YEAR(Table1[[#This Row],[Date]])</f>
        <v>2016</v>
      </c>
      <c r="D276" s="5">
        <v>95.389999000000003</v>
      </c>
      <c r="E276" s="5">
        <v>95.400002000000001</v>
      </c>
      <c r="F276" s="5">
        <v>94.459998999999996</v>
      </c>
      <c r="G276" s="5">
        <v>94.989998</v>
      </c>
      <c r="H276" s="1">
        <v>27705200</v>
      </c>
      <c r="I276">
        <v>93.589828999999995</v>
      </c>
      <c r="J276">
        <v>92.175405130000001</v>
      </c>
      <c r="K276">
        <v>96.230500399999997</v>
      </c>
      <c r="L276">
        <v>100.2855957</v>
      </c>
      <c r="M276" s="5">
        <f>Table1[[#This Row],[AAPL.Close]] -Table1[[#This Row],[AAPL.Open]]</f>
        <v>-0.40000100000000316</v>
      </c>
      <c r="N276" s="4">
        <f>(Table1[[#This Row],[AAPL.Close]] - Table1[[#This Row],[AAPL.Open]]) /Table1[[#This Row],[AAPL.Open]]</f>
        <v>-4.193322195128686E-3</v>
      </c>
      <c r="O276" s="4" t="str">
        <f>IF(Table1[[#This Row],[AAPL.Close]] &gt; Table1[[#This Row],[AAPL.Open]], "Up", "Down")</f>
        <v>Down</v>
      </c>
      <c r="P276" s="2" t="s">
        <v>11</v>
      </c>
    </row>
    <row r="277" spans="1:16" x14ac:dyDescent="0.35">
      <c r="A277" s="3">
        <v>42557</v>
      </c>
      <c r="B277" s="2" t="str">
        <f>TEXT(Table1[[#This Row],[Date]],"mmm")</f>
        <v>Jul</v>
      </c>
      <c r="C277" s="1">
        <f>YEAR(Table1[[#This Row],[Date]])</f>
        <v>2016</v>
      </c>
      <c r="D277" s="5">
        <v>94.599997999999999</v>
      </c>
      <c r="E277" s="5">
        <v>95.660004000000001</v>
      </c>
      <c r="F277" s="5">
        <v>94.370002999999997</v>
      </c>
      <c r="G277" s="5">
        <v>95.529999000000004</v>
      </c>
      <c r="H277" s="1">
        <v>30949100</v>
      </c>
      <c r="I277">
        <v>94.121870000000001</v>
      </c>
      <c r="J277">
        <v>92.201159509999997</v>
      </c>
      <c r="K277">
        <v>96.025500480000005</v>
      </c>
      <c r="L277">
        <v>99.84984145</v>
      </c>
      <c r="M277" s="5">
        <f>Table1[[#This Row],[AAPL.Close]] -Table1[[#This Row],[AAPL.Open]]</f>
        <v>0.9300010000000043</v>
      </c>
      <c r="N277" s="4">
        <f>(Table1[[#This Row],[AAPL.Close]] - Table1[[#This Row],[AAPL.Open]]) /Table1[[#This Row],[AAPL.Open]]</f>
        <v>9.8308775862765273E-3</v>
      </c>
      <c r="O277" s="4" t="str">
        <f>IF(Table1[[#This Row],[AAPL.Close]] &gt; Table1[[#This Row],[AAPL.Open]], "Up", "Down")</f>
        <v>Up</v>
      </c>
      <c r="P277" s="2" t="s">
        <v>10</v>
      </c>
    </row>
    <row r="278" spans="1:16" x14ac:dyDescent="0.35">
      <c r="A278" s="3">
        <v>42558</v>
      </c>
      <c r="B278" s="2" t="str">
        <f>TEXT(Table1[[#This Row],[Date]],"mmm")</f>
        <v>Jul</v>
      </c>
      <c r="C278" s="1">
        <f>YEAR(Table1[[#This Row],[Date]])</f>
        <v>2016</v>
      </c>
      <c r="D278" s="5">
        <v>95.699996999999996</v>
      </c>
      <c r="E278" s="5">
        <v>96.5</v>
      </c>
      <c r="F278" s="5">
        <v>95.620002999999997</v>
      </c>
      <c r="G278" s="5">
        <v>95.940002000000007</v>
      </c>
      <c r="H278" s="1">
        <v>25139600</v>
      </c>
      <c r="I278">
        <v>94.525830999999997</v>
      </c>
      <c r="J278">
        <v>92.310982280000005</v>
      </c>
      <c r="K278">
        <v>95.873500570000004</v>
      </c>
      <c r="L278">
        <v>99.436018849999996</v>
      </c>
      <c r="M278" s="5">
        <f>Table1[[#This Row],[AAPL.Close]] -Table1[[#This Row],[AAPL.Open]]</f>
        <v>0.24000500000001068</v>
      </c>
      <c r="N278" s="4">
        <f>(Table1[[#This Row],[AAPL.Close]] - Table1[[#This Row],[AAPL.Open]]) /Table1[[#This Row],[AAPL.Open]]</f>
        <v>2.5078893158169135E-3</v>
      </c>
      <c r="O278" s="4" t="str">
        <f>IF(Table1[[#This Row],[AAPL.Close]] &gt; Table1[[#This Row],[AAPL.Open]], "Up", "Down")</f>
        <v>Up</v>
      </c>
      <c r="P278" s="2" t="s">
        <v>10</v>
      </c>
    </row>
    <row r="279" spans="1:16" x14ac:dyDescent="0.35">
      <c r="A279" s="3">
        <v>42559</v>
      </c>
      <c r="B279" s="2" t="str">
        <f>TEXT(Table1[[#This Row],[Date]],"mmm")</f>
        <v>Jul</v>
      </c>
      <c r="C279" s="1">
        <f>YEAR(Table1[[#This Row],[Date]])</f>
        <v>2016</v>
      </c>
      <c r="D279" s="5">
        <v>96.489998</v>
      </c>
      <c r="E279" s="5">
        <v>96.889999000000003</v>
      </c>
      <c r="F279" s="5">
        <v>96.050003000000004</v>
      </c>
      <c r="G279" s="5">
        <v>96.68</v>
      </c>
      <c r="H279" s="1">
        <v>28912100</v>
      </c>
      <c r="I279">
        <v>95.254920999999996</v>
      </c>
      <c r="J279">
        <v>92.529037689999996</v>
      </c>
      <c r="K279">
        <v>95.732167279999999</v>
      </c>
      <c r="L279">
        <v>98.935296879999996</v>
      </c>
      <c r="M279" s="5">
        <f>Table1[[#This Row],[AAPL.Close]] -Table1[[#This Row],[AAPL.Open]]</f>
        <v>0.19000200000000689</v>
      </c>
      <c r="N279" s="4">
        <f>(Table1[[#This Row],[AAPL.Close]] - Table1[[#This Row],[AAPL.Open]]) /Table1[[#This Row],[AAPL.Open]]</f>
        <v>1.9691367389188556E-3</v>
      </c>
      <c r="O279" s="4" t="str">
        <f>IF(Table1[[#This Row],[AAPL.Close]] &gt; Table1[[#This Row],[AAPL.Open]], "Up", "Down")</f>
        <v>Up</v>
      </c>
      <c r="P279" s="2" t="s">
        <v>10</v>
      </c>
    </row>
    <row r="280" spans="1:16" x14ac:dyDescent="0.35">
      <c r="A280" s="3">
        <v>42562</v>
      </c>
      <c r="B280" s="2" t="str">
        <f>TEXT(Table1[[#This Row],[Date]],"mmm")</f>
        <v>Jul</v>
      </c>
      <c r="C280" s="1">
        <f>YEAR(Table1[[#This Row],[Date]])</f>
        <v>2016</v>
      </c>
      <c r="D280" s="5">
        <v>96.75</v>
      </c>
      <c r="E280" s="5">
        <v>97.650002000000001</v>
      </c>
      <c r="F280" s="5">
        <v>96.730002999999996</v>
      </c>
      <c r="G280" s="5">
        <v>96.980002999999996</v>
      </c>
      <c r="H280" s="1">
        <v>23794900</v>
      </c>
      <c r="I280">
        <v>95.550501999999994</v>
      </c>
      <c r="J280">
        <v>92.707191219999999</v>
      </c>
      <c r="K280">
        <v>95.643834029999994</v>
      </c>
      <c r="L280">
        <v>98.580476849999997</v>
      </c>
      <c r="M280" s="5">
        <f>Table1[[#This Row],[AAPL.Close]] -Table1[[#This Row],[AAPL.Open]]</f>
        <v>0.2300029999999964</v>
      </c>
      <c r="N280" s="4">
        <f>(Table1[[#This Row],[AAPL.Close]] - Table1[[#This Row],[AAPL.Open]]) /Table1[[#This Row],[AAPL.Open]]</f>
        <v>2.3772919896640457E-3</v>
      </c>
      <c r="O280" s="4" t="str">
        <f>IF(Table1[[#This Row],[AAPL.Close]] &gt; Table1[[#This Row],[AAPL.Open]], "Up", "Down")</f>
        <v>Up</v>
      </c>
      <c r="P280" s="2" t="s">
        <v>10</v>
      </c>
    </row>
    <row r="281" spans="1:16" x14ac:dyDescent="0.35">
      <c r="A281" s="3">
        <v>42563</v>
      </c>
      <c r="B281" s="2" t="str">
        <f>TEXT(Table1[[#This Row],[Date]],"mmm")</f>
        <v>Jul</v>
      </c>
      <c r="C281" s="1">
        <f>YEAR(Table1[[#This Row],[Date]])</f>
        <v>2016</v>
      </c>
      <c r="D281" s="5">
        <v>97.169998000000007</v>
      </c>
      <c r="E281" s="5">
        <v>97.699996999999996</v>
      </c>
      <c r="F281" s="5">
        <v>97.120002999999997</v>
      </c>
      <c r="G281" s="5">
        <v>97.419998000000007</v>
      </c>
      <c r="H281" s="1">
        <v>24167500</v>
      </c>
      <c r="I281">
        <v>95.984010999999995</v>
      </c>
      <c r="J281">
        <v>92.745763190000005</v>
      </c>
      <c r="K281">
        <v>95.621834050000004</v>
      </c>
      <c r="L281">
        <v>98.497904910000003</v>
      </c>
      <c r="M281" s="5">
        <f>Table1[[#This Row],[AAPL.Close]] -Table1[[#This Row],[AAPL.Open]]</f>
        <v>0.25</v>
      </c>
      <c r="N281" s="4">
        <f>(Table1[[#This Row],[AAPL.Close]] - Table1[[#This Row],[AAPL.Open]]) /Table1[[#This Row],[AAPL.Open]]</f>
        <v>2.5728105911867979E-3</v>
      </c>
      <c r="O281" s="4" t="str">
        <f>IF(Table1[[#This Row],[AAPL.Close]] &gt; Table1[[#This Row],[AAPL.Open]], "Up", "Down")</f>
        <v>Up</v>
      </c>
      <c r="P281" s="2" t="s">
        <v>10</v>
      </c>
    </row>
    <row r="282" spans="1:16" x14ac:dyDescent="0.35">
      <c r="A282" s="3">
        <v>42564</v>
      </c>
      <c r="B282" s="2" t="str">
        <f>TEXT(Table1[[#This Row],[Date]],"mmm")</f>
        <v>Jul</v>
      </c>
      <c r="C282" s="1">
        <f>YEAR(Table1[[#This Row],[Date]])</f>
        <v>2016</v>
      </c>
      <c r="D282" s="5">
        <v>97.410004000000001</v>
      </c>
      <c r="E282" s="5">
        <v>97.669998000000007</v>
      </c>
      <c r="F282" s="5">
        <v>96.839995999999999</v>
      </c>
      <c r="G282" s="5">
        <v>96.870002999999997</v>
      </c>
      <c r="H282" s="1">
        <v>25892200</v>
      </c>
      <c r="I282">
        <v>95.442122999999995</v>
      </c>
      <c r="J282">
        <v>92.777077320000004</v>
      </c>
      <c r="K282">
        <v>95.600000629999997</v>
      </c>
      <c r="L282">
        <v>98.422923940000004</v>
      </c>
      <c r="M282" s="5">
        <f>Table1[[#This Row],[AAPL.Close]] -Table1[[#This Row],[AAPL.Open]]</f>
        <v>-0.54000100000000373</v>
      </c>
      <c r="N282" s="4">
        <f>(Table1[[#This Row],[AAPL.Close]] - Table1[[#This Row],[AAPL.Open]]) /Table1[[#This Row],[AAPL.Open]]</f>
        <v>-5.5435887262667979E-3</v>
      </c>
      <c r="O282" s="4" t="str">
        <f>IF(Table1[[#This Row],[AAPL.Close]] &gt; Table1[[#This Row],[AAPL.Open]], "Up", "Down")</f>
        <v>Down</v>
      </c>
      <c r="P282" s="2" t="s">
        <v>11</v>
      </c>
    </row>
    <row r="283" spans="1:16" x14ac:dyDescent="0.35">
      <c r="A283" s="3">
        <v>42565</v>
      </c>
      <c r="B283" s="2" t="str">
        <f>TEXT(Table1[[#This Row],[Date]],"mmm")</f>
        <v>Jul</v>
      </c>
      <c r="C283" s="1">
        <f>YEAR(Table1[[#This Row],[Date]])</f>
        <v>2016</v>
      </c>
      <c r="D283" s="5">
        <v>97.389999000000003</v>
      </c>
      <c r="E283" s="5">
        <v>98.989998</v>
      </c>
      <c r="F283" s="5">
        <v>97.32</v>
      </c>
      <c r="G283" s="5">
        <v>98.790001000000004</v>
      </c>
      <c r="H283" s="1">
        <v>38919000</v>
      </c>
      <c r="I283">
        <v>97.333820000000003</v>
      </c>
      <c r="J283">
        <v>92.683906780000001</v>
      </c>
      <c r="K283">
        <v>95.642000580000001</v>
      </c>
      <c r="L283">
        <v>98.600094380000002</v>
      </c>
      <c r="M283" s="5">
        <f>Table1[[#This Row],[AAPL.Close]] -Table1[[#This Row],[AAPL.Open]]</f>
        <v>1.4000020000000006</v>
      </c>
      <c r="N283" s="4">
        <f>(Table1[[#This Row],[AAPL.Close]] - Table1[[#This Row],[AAPL.Open]]) /Table1[[#This Row],[AAPL.Open]]</f>
        <v>1.4375213208493828E-2</v>
      </c>
      <c r="O283" s="4" t="str">
        <f>IF(Table1[[#This Row],[AAPL.Close]] &gt; Table1[[#This Row],[AAPL.Open]], "Up", "Down")</f>
        <v>Up</v>
      </c>
      <c r="P283" s="2" t="s">
        <v>10</v>
      </c>
    </row>
    <row r="284" spans="1:16" x14ac:dyDescent="0.35">
      <c r="A284" s="3">
        <v>42566</v>
      </c>
      <c r="B284" s="2" t="str">
        <f>TEXT(Table1[[#This Row],[Date]],"mmm")</f>
        <v>Jul</v>
      </c>
      <c r="C284" s="1">
        <f>YEAR(Table1[[#This Row],[Date]])</f>
        <v>2016</v>
      </c>
      <c r="D284" s="5">
        <v>98.919998000000007</v>
      </c>
      <c r="E284" s="5">
        <v>99.300003000000004</v>
      </c>
      <c r="F284" s="5">
        <v>98.5</v>
      </c>
      <c r="G284" s="5">
        <v>98.779999000000004</v>
      </c>
      <c r="H284" s="1">
        <v>30137000</v>
      </c>
      <c r="I284">
        <v>97.323965000000001</v>
      </c>
      <c r="J284">
        <v>92.51132029</v>
      </c>
      <c r="K284">
        <v>95.728833899999998</v>
      </c>
      <c r="L284">
        <v>98.946347509999995</v>
      </c>
      <c r="M284" s="5">
        <f>Table1[[#This Row],[AAPL.Close]] -Table1[[#This Row],[AAPL.Open]]</f>
        <v>-0.13999900000000309</v>
      </c>
      <c r="N284" s="4">
        <f>(Table1[[#This Row],[AAPL.Close]] - Table1[[#This Row],[AAPL.Open]]) /Table1[[#This Row],[AAPL.Open]]</f>
        <v>-1.4152749982870307E-3</v>
      </c>
      <c r="O284" s="4" t="str">
        <f>IF(Table1[[#This Row],[AAPL.Close]] &gt; Table1[[#This Row],[AAPL.Open]], "Up", "Down")</f>
        <v>Down</v>
      </c>
      <c r="P284" s="2" t="s">
        <v>11</v>
      </c>
    </row>
    <row r="285" spans="1:16" x14ac:dyDescent="0.35">
      <c r="A285" s="3">
        <v>42569</v>
      </c>
      <c r="B285" s="2" t="str">
        <f>TEXT(Table1[[#This Row],[Date]],"mmm")</f>
        <v>Jul</v>
      </c>
      <c r="C285" s="1">
        <f>YEAR(Table1[[#This Row],[Date]])</f>
        <v>2016</v>
      </c>
      <c r="D285" s="5">
        <v>98.699996999999996</v>
      </c>
      <c r="E285" s="5">
        <v>100.129997</v>
      </c>
      <c r="F285" s="5">
        <v>98.599997999999999</v>
      </c>
      <c r="G285" s="5">
        <v>99.830001999999993</v>
      </c>
      <c r="H285" s="1">
        <v>36493900</v>
      </c>
      <c r="I285">
        <v>98.358491000000001</v>
      </c>
      <c r="J285">
        <v>92.299457570000001</v>
      </c>
      <c r="K285">
        <v>95.916833729999993</v>
      </c>
      <c r="L285">
        <v>99.534209899999993</v>
      </c>
      <c r="M285" s="5">
        <f>Table1[[#This Row],[AAPL.Close]] -Table1[[#This Row],[AAPL.Open]]</f>
        <v>1.130004999999997</v>
      </c>
      <c r="N285" s="4">
        <f>(Table1[[#This Row],[AAPL.Close]] - Table1[[#This Row],[AAPL.Open]]) /Table1[[#This Row],[AAPL.Open]]</f>
        <v>1.1448885859641891E-2</v>
      </c>
      <c r="O285" s="4" t="str">
        <f>IF(Table1[[#This Row],[AAPL.Close]] &gt; Table1[[#This Row],[AAPL.Open]], "Up", "Down")</f>
        <v>Up</v>
      </c>
      <c r="P285" s="2" t="s">
        <v>10</v>
      </c>
    </row>
    <row r="286" spans="1:16" x14ac:dyDescent="0.35">
      <c r="A286" s="3">
        <v>42570</v>
      </c>
      <c r="B286" s="2" t="str">
        <f>TEXT(Table1[[#This Row],[Date]],"mmm")</f>
        <v>Jul</v>
      </c>
      <c r="C286" s="1">
        <f>YEAR(Table1[[#This Row],[Date]])</f>
        <v>2016</v>
      </c>
      <c r="D286" s="5">
        <v>99.559997999999993</v>
      </c>
      <c r="E286" s="5">
        <v>100</v>
      </c>
      <c r="F286" s="5">
        <v>99.339995999999999</v>
      </c>
      <c r="G286" s="5">
        <v>99.870002999999997</v>
      </c>
      <c r="H286" s="1">
        <v>23779900</v>
      </c>
      <c r="I286">
        <v>98.397902000000002</v>
      </c>
      <c r="J286">
        <v>92.149755580000004</v>
      </c>
      <c r="K286">
        <v>96.125333769999997</v>
      </c>
      <c r="L286">
        <v>100.10091199999999</v>
      </c>
      <c r="M286" s="5">
        <f>Table1[[#This Row],[AAPL.Close]] -Table1[[#This Row],[AAPL.Open]]</f>
        <v>0.31000500000000386</v>
      </c>
      <c r="N286" s="4">
        <f>(Table1[[#This Row],[AAPL.Close]] - Table1[[#This Row],[AAPL.Open]]) /Table1[[#This Row],[AAPL.Open]]</f>
        <v>3.1137505647599942E-3</v>
      </c>
      <c r="O286" s="4" t="str">
        <f>IF(Table1[[#This Row],[AAPL.Close]] &gt; Table1[[#This Row],[AAPL.Open]], "Up", "Down")</f>
        <v>Up</v>
      </c>
      <c r="P286" s="2" t="s">
        <v>10</v>
      </c>
    </row>
    <row r="287" spans="1:16" x14ac:dyDescent="0.35">
      <c r="A287" s="3">
        <v>42571</v>
      </c>
      <c r="B287" s="2" t="str">
        <f>TEXT(Table1[[#This Row],[Date]],"mmm")</f>
        <v>Jul</v>
      </c>
      <c r="C287" s="1">
        <f>YEAR(Table1[[#This Row],[Date]])</f>
        <v>2016</v>
      </c>
      <c r="D287" s="5">
        <v>100</v>
      </c>
      <c r="E287" s="5">
        <v>100.459999</v>
      </c>
      <c r="F287" s="5">
        <v>99.739998</v>
      </c>
      <c r="G287" s="5">
        <v>99.959998999999996</v>
      </c>
      <c r="H287" s="1">
        <v>26276000</v>
      </c>
      <c r="I287">
        <v>98.486571999999995</v>
      </c>
      <c r="J287">
        <v>92.026981469999996</v>
      </c>
      <c r="K287">
        <v>96.345667000000006</v>
      </c>
      <c r="L287">
        <v>100.66435250000001</v>
      </c>
      <c r="M287" s="5">
        <f>Table1[[#This Row],[AAPL.Close]] -Table1[[#This Row],[AAPL.Open]]</f>
        <v>-4.0001000000003728E-2</v>
      </c>
      <c r="N287" s="4">
        <f>(Table1[[#This Row],[AAPL.Close]] - Table1[[#This Row],[AAPL.Open]]) /Table1[[#This Row],[AAPL.Open]]</f>
        <v>-4.0001000000003726E-4</v>
      </c>
      <c r="O287" s="4" t="str">
        <f>IF(Table1[[#This Row],[AAPL.Close]] &gt; Table1[[#This Row],[AAPL.Open]], "Up", "Down")</f>
        <v>Down</v>
      </c>
      <c r="P287" s="2" t="s">
        <v>11</v>
      </c>
    </row>
    <row r="288" spans="1:16" x14ac:dyDescent="0.35">
      <c r="A288" s="3">
        <v>42572</v>
      </c>
      <c r="B288" s="2" t="str">
        <f>TEXT(Table1[[#This Row],[Date]],"mmm")</f>
        <v>Jul</v>
      </c>
      <c r="C288" s="1">
        <f>YEAR(Table1[[#This Row],[Date]])</f>
        <v>2016</v>
      </c>
      <c r="D288" s="5">
        <v>99.830001999999993</v>
      </c>
      <c r="E288" s="5">
        <v>101</v>
      </c>
      <c r="F288" s="5">
        <v>99.129997000000003</v>
      </c>
      <c r="G288" s="5">
        <v>99.43</v>
      </c>
      <c r="H288" s="1">
        <v>32702000</v>
      </c>
      <c r="I288">
        <v>97.964384999999993</v>
      </c>
      <c r="J288">
        <v>91.967633489999997</v>
      </c>
      <c r="K288">
        <v>96.541833620000006</v>
      </c>
      <c r="L288">
        <v>101.1160337</v>
      </c>
      <c r="M288" s="5">
        <f>Table1[[#This Row],[AAPL.Close]] -Table1[[#This Row],[AAPL.Open]]</f>
        <v>-0.40000199999998642</v>
      </c>
      <c r="N288" s="4">
        <f>(Table1[[#This Row],[AAPL.Close]] - Table1[[#This Row],[AAPL.Open]]) /Table1[[#This Row],[AAPL.Open]]</f>
        <v>-4.0068315334701333E-3</v>
      </c>
      <c r="O288" s="4" t="str">
        <f>IF(Table1[[#This Row],[AAPL.Close]] &gt; Table1[[#This Row],[AAPL.Open]], "Up", "Down")</f>
        <v>Down</v>
      </c>
      <c r="P288" s="2" t="s">
        <v>11</v>
      </c>
    </row>
    <row r="289" spans="1:16" x14ac:dyDescent="0.35">
      <c r="A289" s="3">
        <v>42573</v>
      </c>
      <c r="B289" s="2" t="str">
        <f>TEXT(Table1[[#This Row],[Date]],"mmm")</f>
        <v>Jul</v>
      </c>
      <c r="C289" s="1">
        <f>YEAR(Table1[[#This Row],[Date]])</f>
        <v>2016</v>
      </c>
      <c r="D289" s="5">
        <v>99.260002</v>
      </c>
      <c r="E289" s="5">
        <v>99.300003000000004</v>
      </c>
      <c r="F289" s="5">
        <v>98.309997999999993</v>
      </c>
      <c r="G289" s="5">
        <v>98.660004000000001</v>
      </c>
      <c r="H289" s="1">
        <v>28313700</v>
      </c>
      <c r="I289">
        <v>97.205738999999994</v>
      </c>
      <c r="J289">
        <v>92.023688039999996</v>
      </c>
      <c r="K289">
        <v>96.685667050000006</v>
      </c>
      <c r="L289">
        <v>101.34764610000001</v>
      </c>
      <c r="M289" s="5">
        <f>Table1[[#This Row],[AAPL.Close]] -Table1[[#This Row],[AAPL.Open]]</f>
        <v>-0.59999799999999937</v>
      </c>
      <c r="N289" s="4">
        <f>(Table1[[#This Row],[AAPL.Close]] - Table1[[#This Row],[AAPL.Open]]) /Table1[[#This Row],[AAPL.Open]]</f>
        <v>-6.0447107385712059E-3</v>
      </c>
      <c r="O289" s="4" t="str">
        <f>IF(Table1[[#This Row],[AAPL.Close]] &gt; Table1[[#This Row],[AAPL.Open]], "Up", "Down")</f>
        <v>Down</v>
      </c>
      <c r="P289" s="2" t="s">
        <v>11</v>
      </c>
    </row>
    <row r="290" spans="1:16" x14ac:dyDescent="0.35">
      <c r="A290" s="3">
        <v>42576</v>
      </c>
      <c r="B290" s="2" t="str">
        <f>TEXT(Table1[[#This Row],[Date]],"mmm")</f>
        <v>Jul</v>
      </c>
      <c r="C290" s="1">
        <f>YEAR(Table1[[#This Row],[Date]])</f>
        <v>2016</v>
      </c>
      <c r="D290" s="5">
        <v>98.25</v>
      </c>
      <c r="E290" s="5">
        <v>98.839995999999999</v>
      </c>
      <c r="F290" s="5">
        <v>96.919998000000007</v>
      </c>
      <c r="G290" s="5">
        <v>97.339995999999999</v>
      </c>
      <c r="H290" s="1">
        <v>40382900</v>
      </c>
      <c r="I290">
        <v>95.905187999999995</v>
      </c>
      <c r="J290">
        <v>92.439327230000004</v>
      </c>
      <c r="K290">
        <v>96.892166750000001</v>
      </c>
      <c r="L290">
        <v>101.34500629999999</v>
      </c>
      <c r="M290" s="5">
        <f>Table1[[#This Row],[AAPL.Close]] -Table1[[#This Row],[AAPL.Open]]</f>
        <v>-0.9100040000000007</v>
      </c>
      <c r="N290" s="4">
        <f>(Table1[[#This Row],[AAPL.Close]] - Table1[[#This Row],[AAPL.Open]]) /Table1[[#This Row],[AAPL.Open]]</f>
        <v>-9.2621272264631106E-3</v>
      </c>
      <c r="O290" s="4" t="str">
        <f>IF(Table1[[#This Row],[AAPL.Close]] &gt; Table1[[#This Row],[AAPL.Open]], "Up", "Down")</f>
        <v>Down</v>
      </c>
      <c r="P290" s="2" t="s">
        <v>11</v>
      </c>
    </row>
    <row r="291" spans="1:16" x14ac:dyDescent="0.35">
      <c r="A291" s="3">
        <v>42577</v>
      </c>
      <c r="B291" s="2" t="str">
        <f>TEXT(Table1[[#This Row],[Date]],"mmm")</f>
        <v>Jul</v>
      </c>
      <c r="C291" s="1">
        <f>YEAR(Table1[[#This Row],[Date]])</f>
        <v>2016</v>
      </c>
      <c r="D291" s="5">
        <v>96.82</v>
      </c>
      <c r="E291" s="5">
        <v>97.970000999999996</v>
      </c>
      <c r="F291" s="5">
        <v>96.419998000000007</v>
      </c>
      <c r="G291" s="5">
        <v>96.669998000000007</v>
      </c>
      <c r="H291" s="1">
        <v>56239800</v>
      </c>
      <c r="I291">
        <v>95.245065999999994</v>
      </c>
      <c r="J291">
        <v>93.236044359999994</v>
      </c>
      <c r="K291">
        <v>97.133333300000004</v>
      </c>
      <c r="L291">
        <v>101.0306222</v>
      </c>
      <c r="M291" s="5">
        <f>Table1[[#This Row],[AAPL.Close]] -Table1[[#This Row],[AAPL.Open]]</f>
        <v>-0.15000199999998642</v>
      </c>
      <c r="N291" s="4">
        <f>(Table1[[#This Row],[AAPL.Close]] - Table1[[#This Row],[AAPL.Open]]) /Table1[[#This Row],[AAPL.Open]]</f>
        <v>-1.5492873373268584E-3</v>
      </c>
      <c r="O291" s="4" t="str">
        <f>IF(Table1[[#This Row],[AAPL.Close]] &gt; Table1[[#This Row],[AAPL.Open]], "Up", "Down")</f>
        <v>Down</v>
      </c>
      <c r="P291" s="2" t="s">
        <v>11</v>
      </c>
    </row>
    <row r="292" spans="1:16" x14ac:dyDescent="0.35">
      <c r="A292" s="3">
        <v>42578</v>
      </c>
      <c r="B292" s="2" t="str">
        <f>TEXT(Table1[[#This Row],[Date]],"mmm")</f>
        <v>Jul</v>
      </c>
      <c r="C292" s="1">
        <f>YEAR(Table1[[#This Row],[Date]])</f>
        <v>2016</v>
      </c>
      <c r="D292" s="5">
        <v>104.269997</v>
      </c>
      <c r="E292" s="5">
        <v>104.349998</v>
      </c>
      <c r="F292" s="5">
        <v>102.75</v>
      </c>
      <c r="G292" s="5">
        <v>102.949997</v>
      </c>
      <c r="H292" s="1">
        <v>92344800</v>
      </c>
      <c r="I292">
        <v>101.432497</v>
      </c>
      <c r="J292">
        <v>93.323635820000007</v>
      </c>
      <c r="K292">
        <v>97.644333230000001</v>
      </c>
      <c r="L292">
        <v>101.96503060000001</v>
      </c>
      <c r="M292" s="5">
        <f>Table1[[#This Row],[AAPL.Close]] -Table1[[#This Row],[AAPL.Open]]</f>
        <v>-1.3200000000000074</v>
      </c>
      <c r="N292" s="4">
        <f>(Table1[[#This Row],[AAPL.Close]] - Table1[[#This Row],[AAPL.Open]]) /Table1[[#This Row],[AAPL.Open]]</f>
        <v>-1.2659442197931657E-2</v>
      </c>
      <c r="O292" s="4" t="str">
        <f>IF(Table1[[#This Row],[AAPL.Close]] &gt; Table1[[#This Row],[AAPL.Open]], "Up", "Down")</f>
        <v>Down</v>
      </c>
      <c r="P292" s="2" t="s">
        <v>11</v>
      </c>
    </row>
    <row r="293" spans="1:16" x14ac:dyDescent="0.35">
      <c r="A293" s="3">
        <v>42579</v>
      </c>
      <c r="B293" s="2" t="str">
        <f>TEXT(Table1[[#This Row],[Date]],"mmm")</f>
        <v>Jul</v>
      </c>
      <c r="C293" s="1">
        <f>YEAR(Table1[[#This Row],[Date]])</f>
        <v>2016</v>
      </c>
      <c r="D293" s="5">
        <v>102.83000199999999</v>
      </c>
      <c r="E293" s="5">
        <v>104.449997</v>
      </c>
      <c r="F293" s="5">
        <v>102.82</v>
      </c>
      <c r="G293" s="5">
        <v>104.339996</v>
      </c>
      <c r="H293" s="1">
        <v>39869800</v>
      </c>
      <c r="I293">
        <v>102.802007</v>
      </c>
      <c r="J293">
        <v>93.321717800000002</v>
      </c>
      <c r="K293">
        <v>98.128166419999999</v>
      </c>
      <c r="L293">
        <v>102.93461499999999</v>
      </c>
      <c r="M293" s="5">
        <f>Table1[[#This Row],[AAPL.Close]] -Table1[[#This Row],[AAPL.Open]]</f>
        <v>1.5099940000000061</v>
      </c>
      <c r="N293" s="4">
        <f>(Table1[[#This Row],[AAPL.Close]] - Table1[[#This Row],[AAPL.Open]]) /Table1[[#This Row],[AAPL.Open]]</f>
        <v>1.4684371979298476E-2</v>
      </c>
      <c r="O293" s="4" t="str">
        <f>IF(Table1[[#This Row],[AAPL.Close]] &gt; Table1[[#This Row],[AAPL.Open]], "Up", "Down")</f>
        <v>Up</v>
      </c>
      <c r="P293" s="2" t="s">
        <v>10</v>
      </c>
    </row>
    <row r="294" spans="1:16" x14ac:dyDescent="0.35">
      <c r="A294" s="3">
        <v>42580</v>
      </c>
      <c r="B294" s="2" t="str">
        <f>TEXT(Table1[[#This Row],[Date]],"mmm")</f>
        <v>Jul</v>
      </c>
      <c r="C294" s="1">
        <f>YEAR(Table1[[#This Row],[Date]])</f>
        <v>2016</v>
      </c>
      <c r="D294" s="5">
        <v>104.19000200000001</v>
      </c>
      <c r="E294" s="5">
        <v>104.550003</v>
      </c>
      <c r="F294" s="5">
        <v>103.68</v>
      </c>
      <c r="G294" s="5">
        <v>104.209999</v>
      </c>
      <c r="H294" s="1">
        <v>27733700</v>
      </c>
      <c r="I294">
        <v>102.67392599999999</v>
      </c>
      <c r="J294">
        <v>93.295834490000004</v>
      </c>
      <c r="K294">
        <v>98.574333150000001</v>
      </c>
      <c r="L294">
        <v>103.8528318</v>
      </c>
      <c r="M294" s="5">
        <f>Table1[[#This Row],[AAPL.Close]] -Table1[[#This Row],[AAPL.Open]]</f>
        <v>1.9996999999989384E-2</v>
      </c>
      <c r="N294" s="4">
        <f>(Table1[[#This Row],[AAPL.Close]] - Table1[[#This Row],[AAPL.Open]]) /Table1[[#This Row],[AAPL.Open]]</f>
        <v>1.919282043970916E-4</v>
      </c>
      <c r="O294" s="4" t="str">
        <f>IF(Table1[[#This Row],[AAPL.Close]] &gt; Table1[[#This Row],[AAPL.Open]], "Up", "Down")</f>
        <v>Up</v>
      </c>
      <c r="P294" s="2" t="s">
        <v>10</v>
      </c>
    </row>
    <row r="295" spans="1:16" x14ac:dyDescent="0.35">
      <c r="A295" s="3">
        <v>42219</v>
      </c>
      <c r="B295" s="2" t="str">
        <f>TEXT(Table1[[#This Row],[Date]],"mmm")</f>
        <v>Aug</v>
      </c>
      <c r="C295" s="1">
        <f>YEAR(Table1[[#This Row],[Date]])</f>
        <v>2015</v>
      </c>
      <c r="D295" s="5">
        <v>121.5</v>
      </c>
      <c r="E295" s="5">
        <v>122.57</v>
      </c>
      <c r="F295" s="5">
        <v>117.519997</v>
      </c>
      <c r="G295" s="5">
        <v>118.44000200000001</v>
      </c>
      <c r="H295" s="1">
        <v>69976000</v>
      </c>
      <c r="I295">
        <v>114.35268499999999</v>
      </c>
      <c r="J295">
        <v>118.49430270000001</v>
      </c>
      <c r="K295">
        <v>124.8726669</v>
      </c>
      <c r="L295">
        <v>131.25103110000001</v>
      </c>
      <c r="M295" s="5">
        <f>Table1[[#This Row],[AAPL.Close]] -Table1[[#This Row],[AAPL.Open]]</f>
        <v>-3.0599979999999931</v>
      </c>
      <c r="N295" s="4">
        <f>(Table1[[#This Row],[AAPL.Close]] - Table1[[#This Row],[AAPL.Open]]) /Table1[[#This Row],[AAPL.Open]]</f>
        <v>-2.5185168724279779E-2</v>
      </c>
      <c r="O295" s="4" t="str">
        <f>IF(Table1[[#This Row],[AAPL.Close]] &gt; Table1[[#This Row],[AAPL.Open]], "Up", "Down")</f>
        <v>Down</v>
      </c>
      <c r="P295" s="2" t="s">
        <v>11</v>
      </c>
    </row>
    <row r="296" spans="1:16" x14ac:dyDescent="0.35">
      <c r="A296" s="3">
        <v>42220</v>
      </c>
      <c r="B296" s="2" t="str">
        <f>TEXT(Table1[[#This Row],[Date]],"mmm")</f>
        <v>Aug</v>
      </c>
      <c r="C296" s="1">
        <f>YEAR(Table1[[#This Row],[Date]])</f>
        <v>2015</v>
      </c>
      <c r="D296" s="5">
        <v>117.41999800000001</v>
      </c>
      <c r="E296" s="5">
        <v>117.699997</v>
      </c>
      <c r="F296" s="5">
        <v>113.25</v>
      </c>
      <c r="G296" s="5">
        <v>114.639999</v>
      </c>
      <c r="H296" s="1">
        <v>124138600</v>
      </c>
      <c r="I296">
        <v>110.683819</v>
      </c>
      <c r="J296">
        <v>116.7313042</v>
      </c>
      <c r="K296">
        <v>124.3723335</v>
      </c>
      <c r="L296">
        <v>132.01336280000001</v>
      </c>
      <c r="M296" s="5">
        <f>Table1[[#This Row],[AAPL.Close]] -Table1[[#This Row],[AAPL.Open]]</f>
        <v>-2.7799990000000037</v>
      </c>
      <c r="N296" s="4">
        <f>(Table1[[#This Row],[AAPL.Close]] - Table1[[#This Row],[AAPL.Open]]) /Table1[[#This Row],[AAPL.Open]]</f>
        <v>-2.3675685976421185E-2</v>
      </c>
      <c r="O296" s="4" t="str">
        <f>IF(Table1[[#This Row],[AAPL.Close]] &gt; Table1[[#This Row],[AAPL.Open]], "Up", "Down")</f>
        <v>Down</v>
      </c>
      <c r="P296" s="2" t="s">
        <v>11</v>
      </c>
    </row>
    <row r="297" spans="1:16" x14ac:dyDescent="0.35">
      <c r="A297" s="3">
        <v>42221</v>
      </c>
      <c r="B297" s="2" t="str">
        <f>TEXT(Table1[[#This Row],[Date]],"mmm")</f>
        <v>Aug</v>
      </c>
      <c r="C297" s="1">
        <f>YEAR(Table1[[#This Row],[Date]])</f>
        <v>2015</v>
      </c>
      <c r="D297" s="5">
        <v>112.949997</v>
      </c>
      <c r="E297" s="5">
        <v>117.44000200000001</v>
      </c>
      <c r="F297" s="5">
        <v>112.099998</v>
      </c>
      <c r="G297" s="5">
        <v>115.400002</v>
      </c>
      <c r="H297" s="1">
        <v>99312600</v>
      </c>
      <c r="I297">
        <v>111.41759399999999</v>
      </c>
      <c r="J297">
        <v>115.2932316</v>
      </c>
      <c r="K297">
        <v>123.9588335</v>
      </c>
      <c r="L297">
        <v>132.62443540000001</v>
      </c>
      <c r="M297" s="5">
        <f>Table1[[#This Row],[AAPL.Close]] -Table1[[#This Row],[AAPL.Open]]</f>
        <v>2.4500050000000044</v>
      </c>
      <c r="N297" s="4">
        <f>(Table1[[#This Row],[AAPL.Close]] - Table1[[#This Row],[AAPL.Open]]) /Table1[[#This Row],[AAPL.Open]]</f>
        <v>2.1691058566384952E-2</v>
      </c>
      <c r="O297" s="4" t="str">
        <f>IF(Table1[[#This Row],[AAPL.Close]] &gt; Table1[[#This Row],[AAPL.Open]], "Up", "Down")</f>
        <v>Up</v>
      </c>
      <c r="P297" s="2" t="s">
        <v>10</v>
      </c>
    </row>
    <row r="298" spans="1:16" x14ac:dyDescent="0.35">
      <c r="A298" s="3">
        <v>42222</v>
      </c>
      <c r="B298" s="2" t="str">
        <f>TEXT(Table1[[#This Row],[Date]],"mmm")</f>
        <v>Aug</v>
      </c>
      <c r="C298" s="1">
        <f>YEAR(Table1[[#This Row],[Date]])</f>
        <v>2015</v>
      </c>
      <c r="D298" s="5">
        <v>115.970001</v>
      </c>
      <c r="E298" s="5">
        <v>116.5</v>
      </c>
      <c r="F298" s="5">
        <v>114.120003</v>
      </c>
      <c r="G298" s="5">
        <v>115.129997</v>
      </c>
      <c r="H298" s="1">
        <v>52903000</v>
      </c>
      <c r="I298">
        <v>111.66005</v>
      </c>
      <c r="J298">
        <v>114.26860430000001</v>
      </c>
      <c r="K298">
        <v>123.6655002</v>
      </c>
      <c r="L298">
        <v>133.0623961</v>
      </c>
      <c r="M298" s="5">
        <f>Table1[[#This Row],[AAPL.Close]] -Table1[[#This Row],[AAPL.Open]]</f>
        <v>-0.84000399999999331</v>
      </c>
      <c r="N298" s="4">
        <f>(Table1[[#This Row],[AAPL.Close]] - Table1[[#This Row],[AAPL.Open]]) /Table1[[#This Row],[AAPL.Open]]</f>
        <v>-7.24328699453916E-3</v>
      </c>
      <c r="O298" s="4" t="str">
        <f>IF(Table1[[#This Row],[AAPL.Close]] &gt; Table1[[#This Row],[AAPL.Open]], "Up", "Down")</f>
        <v>Down</v>
      </c>
      <c r="P298" s="2" t="s">
        <v>11</v>
      </c>
    </row>
    <row r="299" spans="1:16" x14ac:dyDescent="0.35">
      <c r="A299" s="3">
        <v>42223</v>
      </c>
      <c r="B299" s="2" t="str">
        <f>TEXT(Table1[[#This Row],[Date]],"mmm")</f>
        <v>Aug</v>
      </c>
      <c r="C299" s="1">
        <f>YEAR(Table1[[#This Row],[Date]])</f>
        <v>2015</v>
      </c>
      <c r="D299" s="5">
        <v>114.58000199999999</v>
      </c>
      <c r="E299" s="5">
        <v>116.25</v>
      </c>
      <c r="F299" s="5">
        <v>114.5</v>
      </c>
      <c r="G299" s="5">
        <v>115.519997</v>
      </c>
      <c r="H299" s="1">
        <v>38670400</v>
      </c>
      <c r="I299">
        <v>112.03829500000001</v>
      </c>
      <c r="J299">
        <v>113.2383284</v>
      </c>
      <c r="K299">
        <v>123.2976669</v>
      </c>
      <c r="L299">
        <v>133.3570053</v>
      </c>
      <c r="M299" s="5">
        <f>Table1[[#This Row],[AAPL.Close]] -Table1[[#This Row],[AAPL.Open]]</f>
        <v>0.93999500000001035</v>
      </c>
      <c r="N299" s="4">
        <f>(Table1[[#This Row],[AAPL.Close]] - Table1[[#This Row],[AAPL.Open]]) /Table1[[#This Row],[AAPL.Open]]</f>
        <v>8.2038312409875008E-3</v>
      </c>
      <c r="O299" s="4" t="str">
        <f>IF(Table1[[#This Row],[AAPL.Close]] &gt; Table1[[#This Row],[AAPL.Open]], "Up", "Down")</f>
        <v>Up</v>
      </c>
      <c r="P299" s="2" t="s">
        <v>10</v>
      </c>
    </row>
    <row r="300" spans="1:16" x14ac:dyDescent="0.35">
      <c r="A300" s="3">
        <v>42226</v>
      </c>
      <c r="B300" s="2" t="str">
        <f>TEXT(Table1[[#This Row],[Date]],"mmm")</f>
        <v>Aug</v>
      </c>
      <c r="C300" s="1">
        <f>YEAR(Table1[[#This Row],[Date]])</f>
        <v>2015</v>
      </c>
      <c r="D300" s="5">
        <v>116.529999</v>
      </c>
      <c r="E300" s="5">
        <v>119.989998</v>
      </c>
      <c r="F300" s="5">
        <v>116.529999</v>
      </c>
      <c r="G300" s="5">
        <v>119.720001</v>
      </c>
      <c r="H300" s="1">
        <v>54951600</v>
      </c>
      <c r="I300">
        <v>116.11171400000001</v>
      </c>
      <c r="J300">
        <v>112.76725690000001</v>
      </c>
      <c r="K300">
        <v>122.9726667</v>
      </c>
      <c r="L300">
        <v>133.1780766</v>
      </c>
      <c r="M300" s="5">
        <f>Table1[[#This Row],[AAPL.Close]] -Table1[[#This Row],[AAPL.Open]]</f>
        <v>3.1900019999999927</v>
      </c>
      <c r="N300" s="4">
        <f>(Table1[[#This Row],[AAPL.Close]] - Table1[[#This Row],[AAPL.Open]]) /Table1[[#This Row],[AAPL.Open]]</f>
        <v>2.7374942309919634E-2</v>
      </c>
      <c r="O300" s="4" t="str">
        <f>IF(Table1[[#This Row],[AAPL.Close]] &gt; Table1[[#This Row],[AAPL.Open]], "Up", "Down")</f>
        <v>Up</v>
      </c>
      <c r="P300" s="2" t="s">
        <v>10</v>
      </c>
    </row>
    <row r="301" spans="1:16" x14ac:dyDescent="0.35">
      <c r="A301" s="3">
        <v>42227</v>
      </c>
      <c r="B301" s="2" t="str">
        <f>TEXT(Table1[[#This Row],[Date]],"mmm")</f>
        <v>Aug</v>
      </c>
      <c r="C301" s="1">
        <f>YEAR(Table1[[#This Row],[Date]])</f>
        <v>2015</v>
      </c>
      <c r="D301" s="5">
        <v>117.80999799999999</v>
      </c>
      <c r="E301" s="5">
        <v>118.18</v>
      </c>
      <c r="F301" s="5">
        <v>113.33000199999999</v>
      </c>
      <c r="G301" s="5">
        <v>113.489998</v>
      </c>
      <c r="H301" s="1">
        <v>97082800</v>
      </c>
      <c r="I301">
        <v>110.069479</v>
      </c>
      <c r="J301">
        <v>111.7495121</v>
      </c>
      <c r="K301">
        <v>122.43899999999999</v>
      </c>
      <c r="L301">
        <v>133.12848779999999</v>
      </c>
      <c r="M301" s="5">
        <f>Table1[[#This Row],[AAPL.Close]] -Table1[[#This Row],[AAPL.Open]]</f>
        <v>-4.3199999999999932</v>
      </c>
      <c r="N301" s="4">
        <f>(Table1[[#This Row],[AAPL.Close]] - Table1[[#This Row],[AAPL.Open]]) /Table1[[#This Row],[AAPL.Open]]</f>
        <v>-3.6669213762315772E-2</v>
      </c>
      <c r="O301" s="4" t="str">
        <f>IF(Table1[[#This Row],[AAPL.Close]] &gt; Table1[[#This Row],[AAPL.Open]], "Up", "Down")</f>
        <v>Down</v>
      </c>
      <c r="P301" s="2" t="s">
        <v>11</v>
      </c>
    </row>
    <row r="302" spans="1:16" x14ac:dyDescent="0.35">
      <c r="A302" s="3">
        <v>42228</v>
      </c>
      <c r="B302" s="2" t="str">
        <f>TEXT(Table1[[#This Row],[Date]],"mmm")</f>
        <v>Aug</v>
      </c>
      <c r="C302" s="1">
        <f>YEAR(Table1[[#This Row],[Date]])</f>
        <v>2015</v>
      </c>
      <c r="D302" s="5">
        <v>112.529999</v>
      </c>
      <c r="E302" s="5">
        <v>115.41999800000001</v>
      </c>
      <c r="F302" s="5">
        <v>109.629997</v>
      </c>
      <c r="G302" s="5">
        <v>115.239998</v>
      </c>
      <c r="H302" s="1">
        <v>101217500</v>
      </c>
      <c r="I302">
        <v>111.766735</v>
      </c>
      <c r="J302">
        <v>110.5837964</v>
      </c>
      <c r="K302">
        <v>121.7846665</v>
      </c>
      <c r="L302">
        <v>132.98553649999999</v>
      </c>
      <c r="M302" s="5">
        <f>Table1[[#This Row],[AAPL.Close]] -Table1[[#This Row],[AAPL.Open]]</f>
        <v>2.7099989999999963</v>
      </c>
      <c r="N302" s="4">
        <f>(Table1[[#This Row],[AAPL.Close]] - Table1[[#This Row],[AAPL.Open]]) /Table1[[#This Row],[AAPL.Open]]</f>
        <v>2.4082458225206205E-2</v>
      </c>
      <c r="O302" s="4" t="str">
        <f>IF(Table1[[#This Row],[AAPL.Close]] &gt; Table1[[#This Row],[AAPL.Open]], "Up", "Down")</f>
        <v>Up</v>
      </c>
      <c r="P302" s="2" t="s">
        <v>10</v>
      </c>
    </row>
    <row r="303" spans="1:16" x14ac:dyDescent="0.35">
      <c r="A303" s="3">
        <v>42229</v>
      </c>
      <c r="B303" s="2" t="str">
        <f>TEXT(Table1[[#This Row],[Date]],"mmm")</f>
        <v>Aug</v>
      </c>
      <c r="C303" s="1">
        <f>YEAR(Table1[[#This Row],[Date]])</f>
        <v>2015</v>
      </c>
      <c r="D303" s="5">
        <v>116.040001</v>
      </c>
      <c r="E303" s="5">
        <v>116.400002</v>
      </c>
      <c r="F303" s="5">
        <v>114.540001</v>
      </c>
      <c r="G303" s="5">
        <v>115.150002</v>
      </c>
      <c r="H303" s="1">
        <v>48535800</v>
      </c>
      <c r="I303">
        <v>111.679451</v>
      </c>
      <c r="J303">
        <v>110.0107495</v>
      </c>
      <c r="K303">
        <v>121.1456666</v>
      </c>
      <c r="L303">
        <v>132.2805836</v>
      </c>
      <c r="M303" s="5">
        <f>Table1[[#This Row],[AAPL.Close]] -Table1[[#This Row],[AAPL.Open]]</f>
        <v>-0.88999900000000309</v>
      </c>
      <c r="N303" s="4">
        <f>(Table1[[#This Row],[AAPL.Close]] - Table1[[#This Row],[AAPL.Open]]) /Table1[[#This Row],[AAPL.Open]]</f>
        <v>-7.6697603613430088E-3</v>
      </c>
      <c r="O303" s="4" t="str">
        <f>IF(Table1[[#This Row],[AAPL.Close]] &gt; Table1[[#This Row],[AAPL.Open]], "Up", "Down")</f>
        <v>Down</v>
      </c>
      <c r="P303" s="2" t="s">
        <v>11</v>
      </c>
    </row>
    <row r="304" spans="1:16" x14ac:dyDescent="0.35">
      <c r="A304" s="3">
        <v>42230</v>
      </c>
      <c r="B304" s="2" t="str">
        <f>TEXT(Table1[[#This Row],[Date]],"mmm")</f>
        <v>Aug</v>
      </c>
      <c r="C304" s="1">
        <f>YEAR(Table1[[#This Row],[Date]])</f>
        <v>2015</v>
      </c>
      <c r="D304" s="5">
        <v>114.32</v>
      </c>
      <c r="E304" s="5">
        <v>116.30999799999999</v>
      </c>
      <c r="F304" s="5">
        <v>114.010002</v>
      </c>
      <c r="G304" s="5">
        <v>115.959999</v>
      </c>
      <c r="H304" s="1">
        <v>42929500</v>
      </c>
      <c r="I304">
        <v>112.465036</v>
      </c>
      <c r="J304">
        <v>109.7007656</v>
      </c>
      <c r="K304">
        <v>120.4578334</v>
      </c>
      <c r="L304">
        <v>131.21490120000001</v>
      </c>
      <c r="M304" s="5">
        <f>Table1[[#This Row],[AAPL.Close]] -Table1[[#This Row],[AAPL.Open]]</f>
        <v>1.6399990000000031</v>
      </c>
      <c r="N304" s="4">
        <f>(Table1[[#This Row],[AAPL.Close]] - Table1[[#This Row],[AAPL.Open]]) /Table1[[#This Row],[AAPL.Open]]</f>
        <v>1.4345687543736907E-2</v>
      </c>
      <c r="O304" s="4" t="str">
        <f>IF(Table1[[#This Row],[AAPL.Close]] &gt; Table1[[#This Row],[AAPL.Open]], "Up", "Down")</f>
        <v>Up</v>
      </c>
      <c r="P304" s="2" t="s">
        <v>10</v>
      </c>
    </row>
    <row r="305" spans="1:16" x14ac:dyDescent="0.35">
      <c r="A305" s="3">
        <v>42233</v>
      </c>
      <c r="B305" s="2" t="str">
        <f>TEXT(Table1[[#This Row],[Date]],"mmm")</f>
        <v>Aug</v>
      </c>
      <c r="C305" s="1">
        <f>YEAR(Table1[[#This Row],[Date]])</f>
        <v>2015</v>
      </c>
      <c r="D305" s="5">
        <v>116.040001</v>
      </c>
      <c r="E305" s="5">
        <v>117.650002</v>
      </c>
      <c r="F305" s="5">
        <v>115.5</v>
      </c>
      <c r="G305" s="5">
        <v>117.160004</v>
      </c>
      <c r="H305" s="1">
        <v>40884700</v>
      </c>
      <c r="I305">
        <v>113.628873</v>
      </c>
      <c r="J305">
        <v>110.2193367</v>
      </c>
      <c r="K305">
        <v>119.70066679999999</v>
      </c>
      <c r="L305">
        <v>129.18199680000001</v>
      </c>
      <c r="M305" s="5">
        <f>Table1[[#This Row],[AAPL.Close]] -Table1[[#This Row],[AAPL.Open]]</f>
        <v>1.120002999999997</v>
      </c>
      <c r="N305" s="4">
        <f>(Table1[[#This Row],[AAPL.Close]] - Table1[[#This Row],[AAPL.Open]]) /Table1[[#This Row],[AAPL.Open]]</f>
        <v>9.6518699616350134E-3</v>
      </c>
      <c r="O305" s="4" t="str">
        <f>IF(Table1[[#This Row],[AAPL.Close]] &gt; Table1[[#This Row],[AAPL.Open]], "Up", "Down")</f>
        <v>Up</v>
      </c>
      <c r="P305" s="2" t="s">
        <v>10</v>
      </c>
    </row>
    <row r="306" spans="1:16" x14ac:dyDescent="0.35">
      <c r="A306" s="3">
        <v>42234</v>
      </c>
      <c r="B306" s="2" t="str">
        <f>TEXT(Table1[[#This Row],[Date]],"mmm")</f>
        <v>Aug</v>
      </c>
      <c r="C306" s="1">
        <f>YEAR(Table1[[#This Row],[Date]])</f>
        <v>2015</v>
      </c>
      <c r="D306" s="5">
        <v>116.43</v>
      </c>
      <c r="E306" s="5">
        <v>117.44000200000001</v>
      </c>
      <c r="F306" s="5">
        <v>116.010002</v>
      </c>
      <c r="G306" s="5">
        <v>116.5</v>
      </c>
      <c r="H306" s="1">
        <v>34560700</v>
      </c>
      <c r="I306">
        <v>112.988761</v>
      </c>
      <c r="J306">
        <v>111.057582</v>
      </c>
      <c r="K306">
        <v>118.9666667</v>
      </c>
      <c r="L306">
        <v>126.8757514</v>
      </c>
      <c r="M306" s="5">
        <f>Table1[[#This Row],[AAPL.Close]] -Table1[[#This Row],[AAPL.Open]]</f>
        <v>6.9999999999993179E-2</v>
      </c>
      <c r="N306" s="4">
        <f>(Table1[[#This Row],[AAPL.Close]] - Table1[[#This Row],[AAPL.Open]]) /Table1[[#This Row],[AAPL.Open]]</f>
        <v>6.0121961693715691E-4</v>
      </c>
      <c r="O306" s="4" t="str">
        <f>IF(Table1[[#This Row],[AAPL.Close]] &gt; Table1[[#This Row],[AAPL.Open]], "Up", "Down")</f>
        <v>Up</v>
      </c>
      <c r="P306" s="2" t="s">
        <v>10</v>
      </c>
    </row>
    <row r="307" spans="1:16" x14ac:dyDescent="0.35">
      <c r="A307" s="3">
        <v>42235</v>
      </c>
      <c r="B307" s="2" t="str">
        <f>TEXT(Table1[[#This Row],[Date]],"mmm")</f>
        <v>Aug</v>
      </c>
      <c r="C307" s="1">
        <f>YEAR(Table1[[#This Row],[Date]])</f>
        <v>2015</v>
      </c>
      <c r="D307" s="5">
        <v>116.099998</v>
      </c>
      <c r="E307" s="5">
        <v>116.519997</v>
      </c>
      <c r="F307" s="5">
        <v>114.68</v>
      </c>
      <c r="G307" s="5">
        <v>115.010002</v>
      </c>
      <c r="H307" s="1">
        <v>47445700</v>
      </c>
      <c r="I307">
        <v>111.543671</v>
      </c>
      <c r="J307">
        <v>110.8596081</v>
      </c>
      <c r="K307">
        <v>118.5250001</v>
      </c>
      <c r="L307">
        <v>126.190392</v>
      </c>
      <c r="M307" s="5">
        <f>Table1[[#This Row],[AAPL.Close]] -Table1[[#This Row],[AAPL.Open]]</f>
        <v>-1.0899959999999993</v>
      </c>
      <c r="N307" s="4">
        <f>(Table1[[#This Row],[AAPL.Close]] - Table1[[#This Row],[AAPL.Open]]) /Table1[[#This Row],[AAPL.Open]]</f>
        <v>-9.3884239343397687E-3</v>
      </c>
      <c r="O307" s="4" t="str">
        <f>IF(Table1[[#This Row],[AAPL.Close]] &gt; Table1[[#This Row],[AAPL.Open]], "Up", "Down")</f>
        <v>Down</v>
      </c>
      <c r="P307" s="2" t="s">
        <v>11</v>
      </c>
    </row>
    <row r="308" spans="1:16" x14ac:dyDescent="0.35">
      <c r="A308" s="3">
        <v>42236</v>
      </c>
      <c r="B308" s="2" t="str">
        <f>TEXT(Table1[[#This Row],[Date]],"mmm")</f>
        <v>Aug</v>
      </c>
      <c r="C308" s="1">
        <f>YEAR(Table1[[#This Row],[Date]])</f>
        <v>2015</v>
      </c>
      <c r="D308" s="5">
        <v>114.08000199999999</v>
      </c>
      <c r="E308" s="5">
        <v>114.349998</v>
      </c>
      <c r="F308" s="5">
        <v>111.629997</v>
      </c>
      <c r="G308" s="5">
        <v>112.650002</v>
      </c>
      <c r="H308" s="1">
        <v>68501600</v>
      </c>
      <c r="I308">
        <v>109.2548</v>
      </c>
      <c r="J308">
        <v>110.60169430000001</v>
      </c>
      <c r="K308">
        <v>117.8803334</v>
      </c>
      <c r="L308">
        <v>125.1589724</v>
      </c>
      <c r="M308" s="5">
        <f>Table1[[#This Row],[AAPL.Close]] -Table1[[#This Row],[AAPL.Open]]</f>
        <v>-1.4299999999999926</v>
      </c>
      <c r="N308" s="4">
        <f>(Table1[[#This Row],[AAPL.Close]] - Table1[[#This Row],[AAPL.Open]]) /Table1[[#This Row],[AAPL.Open]]</f>
        <v>-1.2535062893845256E-2</v>
      </c>
      <c r="O308" s="4" t="str">
        <f>IF(Table1[[#This Row],[AAPL.Close]] &gt; Table1[[#This Row],[AAPL.Open]], "Up", "Down")</f>
        <v>Down</v>
      </c>
      <c r="P308" s="2" t="s">
        <v>11</v>
      </c>
    </row>
    <row r="309" spans="1:16" x14ac:dyDescent="0.35">
      <c r="A309" s="3">
        <v>42237</v>
      </c>
      <c r="B309" s="2" t="str">
        <f>TEXT(Table1[[#This Row],[Date]],"mmm")</f>
        <v>Aug</v>
      </c>
      <c r="C309" s="1">
        <f>YEAR(Table1[[#This Row],[Date]])</f>
        <v>2015</v>
      </c>
      <c r="D309" s="5">
        <v>110.43</v>
      </c>
      <c r="E309" s="5">
        <v>111.900002</v>
      </c>
      <c r="F309" s="5">
        <v>105.650002</v>
      </c>
      <c r="G309" s="5">
        <v>105.760002</v>
      </c>
      <c r="H309" s="1">
        <v>128275500</v>
      </c>
      <c r="I309">
        <v>102.572461</v>
      </c>
      <c r="J309">
        <v>109.2092545</v>
      </c>
      <c r="K309">
        <v>117.0331668</v>
      </c>
      <c r="L309">
        <v>124.85707910000001</v>
      </c>
      <c r="M309" s="5">
        <f>Table1[[#This Row],[AAPL.Close]] -Table1[[#This Row],[AAPL.Open]]</f>
        <v>-4.6699980000000068</v>
      </c>
      <c r="N309" s="4">
        <f>(Table1[[#This Row],[AAPL.Close]] - Table1[[#This Row],[AAPL.Open]]) /Table1[[#This Row],[AAPL.Open]]</f>
        <v>-4.2289214887258952E-2</v>
      </c>
      <c r="O309" s="4" t="str">
        <f>IF(Table1[[#This Row],[AAPL.Close]] &gt; Table1[[#This Row],[AAPL.Open]], "Up", "Down")</f>
        <v>Down</v>
      </c>
      <c r="P309" s="2" t="s">
        <v>11</v>
      </c>
    </row>
    <row r="310" spans="1:16" x14ac:dyDescent="0.35">
      <c r="A310" s="3">
        <v>42240</v>
      </c>
      <c r="B310" s="2" t="str">
        <f>TEXT(Table1[[#This Row],[Date]],"mmm")</f>
        <v>Aug</v>
      </c>
      <c r="C310" s="1">
        <f>YEAR(Table1[[#This Row],[Date]])</f>
        <v>2015</v>
      </c>
      <c r="D310" s="5">
        <v>94.870002999999997</v>
      </c>
      <c r="E310" s="5">
        <v>108.800003</v>
      </c>
      <c r="F310" s="5">
        <v>92</v>
      </c>
      <c r="G310" s="5">
        <v>103.120003</v>
      </c>
      <c r="H310" s="1">
        <v>162206300</v>
      </c>
      <c r="I310">
        <v>100.012029</v>
      </c>
      <c r="J310">
        <v>105.9911026</v>
      </c>
      <c r="K310">
        <v>115.9568336</v>
      </c>
      <c r="L310">
        <v>125.92256449999999</v>
      </c>
      <c r="M310" s="5">
        <f>Table1[[#This Row],[AAPL.Close]] -Table1[[#This Row],[AAPL.Open]]</f>
        <v>8.25</v>
      </c>
      <c r="N310" s="4">
        <f>(Table1[[#This Row],[AAPL.Close]] - Table1[[#This Row],[AAPL.Open]]) /Table1[[#This Row],[AAPL.Open]]</f>
        <v>8.696110191964472E-2</v>
      </c>
      <c r="O310" s="4" t="str">
        <f>IF(Table1[[#This Row],[AAPL.Close]] &gt; Table1[[#This Row],[AAPL.Open]], "Up", "Down")</f>
        <v>Up</v>
      </c>
      <c r="P310" s="2" t="s">
        <v>10</v>
      </c>
    </row>
    <row r="311" spans="1:16" x14ac:dyDescent="0.35">
      <c r="A311" s="3">
        <v>42241</v>
      </c>
      <c r="B311" s="2" t="str">
        <f>TEXT(Table1[[#This Row],[Date]],"mmm")</f>
        <v>Aug</v>
      </c>
      <c r="C311" s="1">
        <f>YEAR(Table1[[#This Row],[Date]])</f>
        <v>2015</v>
      </c>
      <c r="D311" s="5">
        <v>111.110001</v>
      </c>
      <c r="E311" s="5">
        <v>111.110001</v>
      </c>
      <c r="F311" s="5">
        <v>103.5</v>
      </c>
      <c r="G311" s="5">
        <v>103.739998</v>
      </c>
      <c r="H311" s="1">
        <v>103601600</v>
      </c>
      <c r="I311">
        <v>100.613338</v>
      </c>
      <c r="J311">
        <v>104.85122749999999</v>
      </c>
      <c r="K311">
        <v>115.0986668</v>
      </c>
      <c r="L311">
        <v>125.34610619999999</v>
      </c>
      <c r="M311" s="5">
        <f>Table1[[#This Row],[AAPL.Close]] -Table1[[#This Row],[AAPL.Open]]</f>
        <v>-7.370002999999997</v>
      </c>
      <c r="N311" s="4">
        <f>(Table1[[#This Row],[AAPL.Close]] - Table1[[#This Row],[AAPL.Open]]) /Table1[[#This Row],[AAPL.Open]]</f>
        <v>-6.633068970992087E-2</v>
      </c>
      <c r="O311" s="4" t="str">
        <f>IF(Table1[[#This Row],[AAPL.Close]] &gt; Table1[[#This Row],[AAPL.Open]], "Up", "Down")</f>
        <v>Down</v>
      </c>
      <c r="P311" s="2" t="s">
        <v>11</v>
      </c>
    </row>
    <row r="312" spans="1:16" x14ac:dyDescent="0.35">
      <c r="A312" s="3">
        <v>42242</v>
      </c>
      <c r="B312" s="2" t="str">
        <f>TEXT(Table1[[#This Row],[Date]],"mmm")</f>
        <v>Aug</v>
      </c>
      <c r="C312" s="1">
        <f>YEAR(Table1[[#This Row],[Date]])</f>
        <v>2015</v>
      </c>
      <c r="D312" s="5">
        <v>107.089996</v>
      </c>
      <c r="E312" s="5">
        <v>109.889999</v>
      </c>
      <c r="F312" s="5">
        <v>105.050003</v>
      </c>
      <c r="G312" s="5">
        <v>109.69000200000001</v>
      </c>
      <c r="H312" s="1">
        <v>96774600</v>
      </c>
      <c r="I312">
        <v>106.384013</v>
      </c>
      <c r="J312">
        <v>104.35805480000001</v>
      </c>
      <c r="K312">
        <v>114.363167</v>
      </c>
      <c r="L312">
        <v>124.3682792</v>
      </c>
      <c r="M312" s="5">
        <f>Table1[[#This Row],[AAPL.Close]] -Table1[[#This Row],[AAPL.Open]]</f>
        <v>2.6000060000000076</v>
      </c>
      <c r="N312" s="4">
        <f>(Table1[[#This Row],[AAPL.Close]] - Table1[[#This Row],[AAPL.Open]]) /Table1[[#This Row],[AAPL.Open]]</f>
        <v>2.427870106559727E-2</v>
      </c>
      <c r="O312" s="4" t="str">
        <f>IF(Table1[[#This Row],[AAPL.Close]] &gt; Table1[[#This Row],[AAPL.Open]], "Up", "Down")</f>
        <v>Up</v>
      </c>
      <c r="P312" s="2" t="s">
        <v>10</v>
      </c>
    </row>
    <row r="313" spans="1:16" x14ac:dyDescent="0.35">
      <c r="A313" s="3">
        <v>42243</v>
      </c>
      <c r="B313" s="2" t="str">
        <f>TEXT(Table1[[#This Row],[Date]],"mmm")</f>
        <v>Aug</v>
      </c>
      <c r="C313" s="1">
        <f>YEAR(Table1[[#This Row],[Date]])</f>
        <v>2015</v>
      </c>
      <c r="D313" s="5">
        <v>112.230003</v>
      </c>
      <c r="E313" s="5">
        <v>113.239998</v>
      </c>
      <c r="F313" s="5">
        <v>110.019997</v>
      </c>
      <c r="G313" s="5">
        <v>112.91999800000001</v>
      </c>
      <c r="H313" s="1">
        <v>84616100</v>
      </c>
      <c r="I313">
        <v>109.516659</v>
      </c>
      <c r="J313">
        <v>104.4853754</v>
      </c>
      <c r="K313">
        <v>113.8553335</v>
      </c>
      <c r="L313">
        <v>123.22529160000001</v>
      </c>
      <c r="M313" s="5">
        <f>Table1[[#This Row],[AAPL.Close]] -Table1[[#This Row],[AAPL.Open]]</f>
        <v>0.68999500000001035</v>
      </c>
      <c r="N313" s="4">
        <f>(Table1[[#This Row],[AAPL.Close]] - Table1[[#This Row],[AAPL.Open]]) /Table1[[#This Row],[AAPL.Open]]</f>
        <v>6.1480440306146151E-3</v>
      </c>
      <c r="O313" s="4" t="str">
        <f>IF(Table1[[#This Row],[AAPL.Close]] &gt; Table1[[#This Row],[AAPL.Open]], "Up", "Down")</f>
        <v>Up</v>
      </c>
      <c r="P313" s="2" t="s">
        <v>10</v>
      </c>
    </row>
    <row r="314" spans="1:16" x14ac:dyDescent="0.35">
      <c r="A314" s="3">
        <v>42244</v>
      </c>
      <c r="B314" s="2" t="str">
        <f>TEXT(Table1[[#This Row],[Date]],"mmm")</f>
        <v>Aug</v>
      </c>
      <c r="C314" s="1">
        <f>YEAR(Table1[[#This Row],[Date]])</f>
        <v>2015</v>
      </c>
      <c r="D314" s="5">
        <v>112.16999800000001</v>
      </c>
      <c r="E314" s="5">
        <v>113.30999799999999</v>
      </c>
      <c r="F314" s="5">
        <v>111.540001</v>
      </c>
      <c r="G314" s="5">
        <v>113.290001</v>
      </c>
      <c r="H314" s="1">
        <v>53164400</v>
      </c>
      <c r="I314">
        <v>109.87551000000001</v>
      </c>
      <c r="J314">
        <v>104.7374169</v>
      </c>
      <c r="K314">
        <v>113.4101667</v>
      </c>
      <c r="L314">
        <v>122.0829165</v>
      </c>
      <c r="M314" s="5">
        <f>Table1[[#This Row],[AAPL.Close]] -Table1[[#This Row],[AAPL.Open]]</f>
        <v>1.120002999999997</v>
      </c>
      <c r="N314" s="4">
        <f>(Table1[[#This Row],[AAPL.Close]] - Table1[[#This Row],[AAPL.Open]]) /Table1[[#This Row],[AAPL.Open]]</f>
        <v>9.9848713557077612E-3</v>
      </c>
      <c r="O314" s="4" t="str">
        <f>IF(Table1[[#This Row],[AAPL.Close]] &gt; Table1[[#This Row],[AAPL.Open]], "Up", "Down")</f>
        <v>Up</v>
      </c>
      <c r="P314" s="2" t="s">
        <v>10</v>
      </c>
    </row>
    <row r="315" spans="1:16" x14ac:dyDescent="0.35">
      <c r="A315" s="3">
        <v>42247</v>
      </c>
      <c r="B315" s="2" t="str">
        <f>TEXT(Table1[[#This Row],[Date]],"mmm")</f>
        <v>Aug</v>
      </c>
      <c r="C315" s="1">
        <f>YEAR(Table1[[#This Row],[Date]])</f>
        <v>2015</v>
      </c>
      <c r="D315" s="5">
        <v>112.029999</v>
      </c>
      <c r="E315" s="5">
        <v>114.529999</v>
      </c>
      <c r="F315" s="5">
        <v>112</v>
      </c>
      <c r="G315" s="5">
        <v>112.760002</v>
      </c>
      <c r="H315" s="1">
        <v>56229300</v>
      </c>
      <c r="I315">
        <v>109.361485</v>
      </c>
      <c r="J315">
        <v>104.8807642</v>
      </c>
      <c r="K315">
        <v>113.0895001</v>
      </c>
      <c r="L315">
        <v>121.298236</v>
      </c>
      <c r="M315" s="5">
        <f>Table1[[#This Row],[AAPL.Close]] -Table1[[#This Row],[AAPL.Open]]</f>
        <v>0.7300029999999964</v>
      </c>
      <c r="N315" s="4">
        <f>(Table1[[#This Row],[AAPL.Close]] - Table1[[#This Row],[AAPL.Open]]) /Table1[[#This Row],[AAPL.Open]]</f>
        <v>6.5161385924853606E-3</v>
      </c>
      <c r="O315" s="4" t="str">
        <f>IF(Table1[[#This Row],[AAPL.Close]] &gt; Table1[[#This Row],[AAPL.Open]], "Up", "Down")</f>
        <v>Up</v>
      </c>
      <c r="P315" s="2" t="s">
        <v>10</v>
      </c>
    </row>
    <row r="316" spans="1:16" x14ac:dyDescent="0.35">
      <c r="A316" s="3">
        <v>42583</v>
      </c>
      <c r="B316" s="2" t="str">
        <f>TEXT(Table1[[#This Row],[Date]],"mmm")</f>
        <v>Aug</v>
      </c>
      <c r="C316" s="1">
        <f>YEAR(Table1[[#This Row],[Date]])</f>
        <v>2016</v>
      </c>
      <c r="D316" s="5">
        <v>104.410004</v>
      </c>
      <c r="E316" s="5">
        <v>106.150002</v>
      </c>
      <c r="F316" s="5">
        <v>104.410004</v>
      </c>
      <c r="G316" s="5">
        <v>106.050003</v>
      </c>
      <c r="H316" s="1">
        <v>38167900</v>
      </c>
      <c r="I316">
        <v>104.486808</v>
      </c>
      <c r="J316">
        <v>93.123871820000005</v>
      </c>
      <c r="K316">
        <v>99.056333269999996</v>
      </c>
      <c r="L316">
        <v>104.9887947</v>
      </c>
      <c r="M316" s="5">
        <f>Table1[[#This Row],[AAPL.Close]] -Table1[[#This Row],[AAPL.Open]]</f>
        <v>1.6399990000000031</v>
      </c>
      <c r="N316" s="4">
        <f>(Table1[[#This Row],[AAPL.Close]] - Table1[[#This Row],[AAPL.Open]]) /Table1[[#This Row],[AAPL.Open]]</f>
        <v>1.5707297549763556E-2</v>
      </c>
      <c r="O316" s="4" t="str">
        <f>IF(Table1[[#This Row],[AAPL.Close]] &gt; Table1[[#This Row],[AAPL.Open]], "Up", "Down")</f>
        <v>Up</v>
      </c>
      <c r="P316" s="2" t="s">
        <v>10</v>
      </c>
    </row>
    <row r="317" spans="1:16" x14ac:dyDescent="0.35">
      <c r="A317" s="3">
        <v>42584</v>
      </c>
      <c r="B317" s="2" t="str">
        <f>TEXT(Table1[[#This Row],[Date]],"mmm")</f>
        <v>Aug</v>
      </c>
      <c r="C317" s="1">
        <f>YEAR(Table1[[#This Row],[Date]])</f>
        <v>2016</v>
      </c>
      <c r="D317" s="5">
        <v>106.050003</v>
      </c>
      <c r="E317" s="5">
        <v>106.07</v>
      </c>
      <c r="F317" s="5">
        <v>104</v>
      </c>
      <c r="G317" s="5">
        <v>104.480003</v>
      </c>
      <c r="H317" s="1">
        <v>33816600</v>
      </c>
      <c r="I317">
        <v>102.93995</v>
      </c>
      <c r="J317">
        <v>93.423126370000006</v>
      </c>
      <c r="K317">
        <v>99.551333330000006</v>
      </c>
      <c r="L317">
        <v>105.6795403</v>
      </c>
      <c r="M317" s="5">
        <f>Table1[[#This Row],[AAPL.Close]] -Table1[[#This Row],[AAPL.Open]]</f>
        <v>-1.5700000000000074</v>
      </c>
      <c r="N317" s="4">
        <f>(Table1[[#This Row],[AAPL.Close]] - Table1[[#This Row],[AAPL.Open]]) /Table1[[#This Row],[AAPL.Open]]</f>
        <v>-1.4804337157821743E-2</v>
      </c>
      <c r="O317" s="4" t="str">
        <f>IF(Table1[[#This Row],[AAPL.Close]] &gt; Table1[[#This Row],[AAPL.Open]], "Up", "Down")</f>
        <v>Down</v>
      </c>
      <c r="P317" s="2" t="s">
        <v>11</v>
      </c>
    </row>
    <row r="318" spans="1:16" x14ac:dyDescent="0.35">
      <c r="A318" s="3">
        <v>42585</v>
      </c>
      <c r="B318" s="2" t="str">
        <f>TEXT(Table1[[#This Row],[Date]],"mmm")</f>
        <v>Aug</v>
      </c>
      <c r="C318" s="1">
        <f>YEAR(Table1[[#This Row],[Date]])</f>
        <v>2016</v>
      </c>
      <c r="D318" s="5">
        <v>104.80999799999999</v>
      </c>
      <c r="E318" s="5">
        <v>105.839996</v>
      </c>
      <c r="F318" s="5">
        <v>104.769997</v>
      </c>
      <c r="G318" s="5">
        <v>105.790001</v>
      </c>
      <c r="H318" s="1">
        <v>30202600</v>
      </c>
      <c r="I318">
        <v>104.230638</v>
      </c>
      <c r="J318">
        <v>93.765626249999997</v>
      </c>
      <c r="K318">
        <v>100.0653331</v>
      </c>
      <c r="L318">
        <v>106.36503999999999</v>
      </c>
      <c r="M318" s="5">
        <f>Table1[[#This Row],[AAPL.Close]] -Table1[[#This Row],[AAPL.Open]]</f>
        <v>0.98000300000001062</v>
      </c>
      <c r="N318" s="4">
        <f>(Table1[[#This Row],[AAPL.Close]] - Table1[[#This Row],[AAPL.Open]]) /Table1[[#This Row],[AAPL.Open]]</f>
        <v>9.350281640116153E-3</v>
      </c>
      <c r="O318" s="4" t="str">
        <f>IF(Table1[[#This Row],[AAPL.Close]] &gt; Table1[[#This Row],[AAPL.Open]], "Up", "Down")</f>
        <v>Up</v>
      </c>
      <c r="P318" s="2" t="s">
        <v>10</v>
      </c>
    </row>
    <row r="319" spans="1:16" x14ac:dyDescent="0.35">
      <c r="A319" s="3">
        <v>42586</v>
      </c>
      <c r="B319" s="2" t="str">
        <f>TEXT(Table1[[#This Row],[Date]],"mmm")</f>
        <v>Aug</v>
      </c>
      <c r="C319" s="1">
        <f>YEAR(Table1[[#This Row],[Date]])</f>
        <v>2016</v>
      </c>
      <c r="D319" s="5">
        <v>105.58000199999999</v>
      </c>
      <c r="E319" s="5">
        <v>106</v>
      </c>
      <c r="F319" s="5">
        <v>105.279999</v>
      </c>
      <c r="G319" s="5">
        <v>105.870003</v>
      </c>
      <c r="H319" s="1">
        <v>27408700</v>
      </c>
      <c r="I319">
        <v>104.874527</v>
      </c>
      <c r="J319">
        <v>94.080187449999997</v>
      </c>
      <c r="K319">
        <v>100.55016639999999</v>
      </c>
      <c r="L319">
        <v>107.0201454</v>
      </c>
      <c r="M319" s="5">
        <f>Table1[[#This Row],[AAPL.Close]] -Table1[[#This Row],[AAPL.Open]]</f>
        <v>0.29000100000000373</v>
      </c>
      <c r="N319" s="4">
        <f>(Table1[[#This Row],[AAPL.Close]] - Table1[[#This Row],[AAPL.Open]]) /Table1[[#This Row],[AAPL.Open]]</f>
        <v>2.7467417551290041E-3</v>
      </c>
      <c r="O319" s="4" t="str">
        <f>IF(Table1[[#This Row],[AAPL.Close]] &gt; Table1[[#This Row],[AAPL.Open]], "Up", "Down")</f>
        <v>Up</v>
      </c>
      <c r="P319" s="2" t="s">
        <v>10</v>
      </c>
    </row>
    <row r="320" spans="1:16" x14ac:dyDescent="0.35">
      <c r="A320" s="3">
        <v>42587</v>
      </c>
      <c r="B320" s="2" t="str">
        <f>TEXT(Table1[[#This Row],[Date]],"mmm")</f>
        <v>Aug</v>
      </c>
      <c r="C320" s="1">
        <f>YEAR(Table1[[#This Row],[Date]])</f>
        <v>2016</v>
      </c>
      <c r="D320" s="5">
        <v>106.269997</v>
      </c>
      <c r="E320" s="5">
        <v>107.650002</v>
      </c>
      <c r="F320" s="5">
        <v>106.18</v>
      </c>
      <c r="G320" s="5">
        <v>107.480003</v>
      </c>
      <c r="H320" s="1">
        <v>40553400</v>
      </c>
      <c r="I320">
        <v>106.46938900000001</v>
      </c>
      <c r="J320">
        <v>94.287360789999994</v>
      </c>
      <c r="K320">
        <v>101.07833309999999</v>
      </c>
      <c r="L320">
        <v>107.8693055</v>
      </c>
      <c r="M320" s="5">
        <f>Table1[[#This Row],[AAPL.Close]] -Table1[[#This Row],[AAPL.Open]]</f>
        <v>1.2100059999999928</v>
      </c>
      <c r="N320" s="4">
        <f>(Table1[[#This Row],[AAPL.Close]] - Table1[[#This Row],[AAPL.Open]]) /Table1[[#This Row],[AAPL.Open]]</f>
        <v>1.1386148811126744E-2</v>
      </c>
      <c r="O320" s="4" t="str">
        <f>IF(Table1[[#This Row],[AAPL.Close]] &gt; Table1[[#This Row],[AAPL.Open]], "Up", "Down")</f>
        <v>Up</v>
      </c>
      <c r="P320" s="2" t="s">
        <v>10</v>
      </c>
    </row>
    <row r="321" spans="1:16" x14ac:dyDescent="0.35">
      <c r="A321" s="3">
        <v>42590</v>
      </c>
      <c r="B321" s="2" t="str">
        <f>TEXT(Table1[[#This Row],[Date]],"mmm")</f>
        <v>Aug</v>
      </c>
      <c r="C321" s="1">
        <f>YEAR(Table1[[#This Row],[Date]])</f>
        <v>2016</v>
      </c>
      <c r="D321" s="5">
        <v>107.519997</v>
      </c>
      <c r="E321" s="5">
        <v>108.370003</v>
      </c>
      <c r="F321" s="5">
        <v>107.160004</v>
      </c>
      <c r="G321" s="5">
        <v>108.370003</v>
      </c>
      <c r="H321" s="1">
        <v>28037200</v>
      </c>
      <c r="I321">
        <v>107.35102000000001</v>
      </c>
      <c r="J321">
        <v>94.458476579999996</v>
      </c>
      <c r="K321">
        <v>101.6206665</v>
      </c>
      <c r="L321">
        <v>108.7828564</v>
      </c>
      <c r="M321" s="5">
        <f>Table1[[#This Row],[AAPL.Close]] -Table1[[#This Row],[AAPL.Open]]</f>
        <v>0.85000599999999338</v>
      </c>
      <c r="N321" s="4">
        <f>(Table1[[#This Row],[AAPL.Close]] - Table1[[#This Row],[AAPL.Open]]) /Table1[[#This Row],[AAPL.Open]]</f>
        <v>7.9055619765316162E-3</v>
      </c>
      <c r="O321" s="4" t="str">
        <f>IF(Table1[[#This Row],[AAPL.Close]] &gt; Table1[[#This Row],[AAPL.Open]], "Up", "Down")</f>
        <v>Up</v>
      </c>
      <c r="P321" s="2" t="s">
        <v>10</v>
      </c>
    </row>
    <row r="322" spans="1:16" x14ac:dyDescent="0.35">
      <c r="A322" s="3">
        <v>42591</v>
      </c>
      <c r="B322" s="2" t="str">
        <f>TEXT(Table1[[#This Row],[Date]],"mmm")</f>
        <v>Aug</v>
      </c>
      <c r="C322" s="1">
        <f>YEAR(Table1[[#This Row],[Date]])</f>
        <v>2016</v>
      </c>
      <c r="D322" s="5">
        <v>108.230003</v>
      </c>
      <c r="E322" s="5">
        <v>108.94000200000001</v>
      </c>
      <c r="F322" s="5">
        <v>108.010002</v>
      </c>
      <c r="G322" s="5">
        <v>108.80999799999999</v>
      </c>
      <c r="H322" s="1">
        <v>26315200</v>
      </c>
      <c r="I322">
        <v>107.786878</v>
      </c>
      <c r="J322">
        <v>94.681784820000004</v>
      </c>
      <c r="K322">
        <v>102.1793332</v>
      </c>
      <c r="L322">
        <v>109.6768816</v>
      </c>
      <c r="M322" s="5">
        <f>Table1[[#This Row],[AAPL.Close]] -Table1[[#This Row],[AAPL.Open]]</f>
        <v>0.57999499999999671</v>
      </c>
      <c r="N322" s="4">
        <f>(Table1[[#This Row],[AAPL.Close]] - Table1[[#This Row],[AAPL.Open]]) /Table1[[#This Row],[AAPL.Open]]</f>
        <v>5.3589114286543699E-3</v>
      </c>
      <c r="O322" s="4" t="str">
        <f>IF(Table1[[#This Row],[AAPL.Close]] &gt; Table1[[#This Row],[AAPL.Open]], "Up", "Down")</f>
        <v>Up</v>
      </c>
      <c r="P322" s="2" t="s">
        <v>10</v>
      </c>
    </row>
    <row r="323" spans="1:16" x14ac:dyDescent="0.35">
      <c r="A323" s="3">
        <v>42592</v>
      </c>
      <c r="B323" s="2" t="str">
        <f>TEXT(Table1[[#This Row],[Date]],"mmm")</f>
        <v>Aug</v>
      </c>
      <c r="C323" s="1">
        <f>YEAR(Table1[[#This Row],[Date]])</f>
        <v>2016</v>
      </c>
      <c r="D323" s="5">
        <v>108.709999</v>
      </c>
      <c r="E323" s="5">
        <v>108.900002</v>
      </c>
      <c r="F323" s="5">
        <v>107.760002</v>
      </c>
      <c r="G323" s="5">
        <v>108</v>
      </c>
      <c r="H323" s="1">
        <v>24008500</v>
      </c>
      <c r="I323">
        <v>106.98449599999999</v>
      </c>
      <c r="J323">
        <v>95.172607580000005</v>
      </c>
      <c r="K323">
        <v>102.73399999999999</v>
      </c>
      <c r="L323">
        <v>110.29539250000001</v>
      </c>
      <c r="M323" s="5">
        <f>Table1[[#This Row],[AAPL.Close]] -Table1[[#This Row],[AAPL.Open]]</f>
        <v>-0.70999899999999627</v>
      </c>
      <c r="N323" s="4">
        <f>(Table1[[#This Row],[AAPL.Close]] - Table1[[#This Row],[AAPL.Open]]) /Table1[[#This Row],[AAPL.Open]]</f>
        <v>-6.5311287510912064E-3</v>
      </c>
      <c r="O323" s="4" t="str">
        <f>IF(Table1[[#This Row],[AAPL.Close]] &gt; Table1[[#This Row],[AAPL.Open]], "Up", "Down")</f>
        <v>Down</v>
      </c>
      <c r="P323" s="2" t="s">
        <v>11</v>
      </c>
    </row>
    <row r="324" spans="1:16" x14ac:dyDescent="0.35">
      <c r="A324" s="3">
        <v>42593</v>
      </c>
      <c r="B324" s="2" t="str">
        <f>TEXT(Table1[[#This Row],[Date]],"mmm")</f>
        <v>Aug</v>
      </c>
      <c r="C324" s="1">
        <f>YEAR(Table1[[#This Row],[Date]])</f>
        <v>2016</v>
      </c>
      <c r="D324" s="5">
        <v>108.519997</v>
      </c>
      <c r="E324" s="5">
        <v>108.93</v>
      </c>
      <c r="F324" s="5">
        <v>107.849998</v>
      </c>
      <c r="G324" s="5">
        <v>107.93</v>
      </c>
      <c r="H324" s="1">
        <v>27484500</v>
      </c>
      <c r="I324">
        <v>106.915155</v>
      </c>
      <c r="J324">
        <v>95.582787280000005</v>
      </c>
      <c r="K324">
        <v>103.22750000000001</v>
      </c>
      <c r="L324">
        <v>110.87221270000001</v>
      </c>
      <c r="M324" s="5">
        <f>Table1[[#This Row],[AAPL.Close]] -Table1[[#This Row],[AAPL.Open]]</f>
        <v>-0.58999699999999677</v>
      </c>
      <c r="N324" s="4">
        <f>(Table1[[#This Row],[AAPL.Close]] - Table1[[#This Row],[AAPL.Open]]) /Table1[[#This Row],[AAPL.Open]]</f>
        <v>-5.4367583515506062E-3</v>
      </c>
      <c r="O324" s="4" t="str">
        <f>IF(Table1[[#This Row],[AAPL.Close]] &gt; Table1[[#This Row],[AAPL.Open]], "Up", "Down")</f>
        <v>Down</v>
      </c>
      <c r="P324" s="2" t="s">
        <v>11</v>
      </c>
    </row>
    <row r="325" spans="1:16" x14ac:dyDescent="0.35">
      <c r="A325" s="3">
        <v>42594</v>
      </c>
      <c r="B325" s="2" t="str">
        <f>TEXT(Table1[[#This Row],[Date]],"mmm")</f>
        <v>Aug</v>
      </c>
      <c r="C325" s="1">
        <f>YEAR(Table1[[#This Row],[Date]])</f>
        <v>2016</v>
      </c>
      <c r="D325" s="5">
        <v>107.779999</v>
      </c>
      <c r="E325" s="5">
        <v>108.44000200000001</v>
      </c>
      <c r="F325" s="5">
        <v>107.779999</v>
      </c>
      <c r="G325" s="5">
        <v>108.18</v>
      </c>
      <c r="H325" s="1">
        <v>18660400</v>
      </c>
      <c r="I325">
        <v>107.16280399999999</v>
      </c>
      <c r="J325">
        <v>96.037401810000006</v>
      </c>
      <c r="K325">
        <v>103.6911667</v>
      </c>
      <c r="L325">
        <v>111.3449315</v>
      </c>
      <c r="M325" s="5">
        <f>Table1[[#This Row],[AAPL.Close]] -Table1[[#This Row],[AAPL.Open]]</f>
        <v>0.40000100000000316</v>
      </c>
      <c r="N325" s="4">
        <f>(Table1[[#This Row],[AAPL.Close]] - Table1[[#This Row],[AAPL.Open]]) /Table1[[#This Row],[AAPL.Open]]</f>
        <v>3.7112729978778635E-3</v>
      </c>
      <c r="O325" s="4" t="str">
        <f>IF(Table1[[#This Row],[AAPL.Close]] &gt; Table1[[#This Row],[AAPL.Open]], "Up", "Down")</f>
        <v>Up</v>
      </c>
      <c r="P325" s="2" t="s">
        <v>10</v>
      </c>
    </row>
    <row r="326" spans="1:16" x14ac:dyDescent="0.35">
      <c r="A326" s="3">
        <v>42597</v>
      </c>
      <c r="B326" s="2" t="str">
        <f>TEXT(Table1[[#This Row],[Date]],"mmm")</f>
        <v>Aug</v>
      </c>
      <c r="C326" s="1">
        <f>YEAR(Table1[[#This Row],[Date]])</f>
        <v>2016</v>
      </c>
      <c r="D326" s="5">
        <v>108.139999</v>
      </c>
      <c r="E326" s="5">
        <v>109.540001</v>
      </c>
      <c r="F326" s="5">
        <v>108.08000199999999</v>
      </c>
      <c r="G326" s="5">
        <v>109.480003</v>
      </c>
      <c r="H326" s="1">
        <v>25868200</v>
      </c>
      <c r="I326">
        <v>108.45058400000001</v>
      </c>
      <c r="J326">
        <v>96.427123789999996</v>
      </c>
      <c r="K326">
        <v>104.1668335</v>
      </c>
      <c r="L326">
        <v>111.90654309999999</v>
      </c>
      <c r="M326" s="5">
        <f>Table1[[#This Row],[AAPL.Close]] -Table1[[#This Row],[AAPL.Open]]</f>
        <v>1.3400039999999933</v>
      </c>
      <c r="N326" s="4">
        <f>(Table1[[#This Row],[AAPL.Close]] - Table1[[#This Row],[AAPL.Open]]) /Table1[[#This Row],[AAPL.Open]]</f>
        <v>1.2391381657031394E-2</v>
      </c>
      <c r="O326" s="4" t="str">
        <f>IF(Table1[[#This Row],[AAPL.Close]] &gt; Table1[[#This Row],[AAPL.Open]], "Up", "Down")</f>
        <v>Up</v>
      </c>
      <c r="P326" s="2" t="s">
        <v>10</v>
      </c>
    </row>
    <row r="327" spans="1:16" x14ac:dyDescent="0.35">
      <c r="A327" s="3">
        <v>42598</v>
      </c>
      <c r="B327" s="2" t="str">
        <f>TEXT(Table1[[#This Row],[Date]],"mmm")</f>
        <v>Aug</v>
      </c>
      <c r="C327" s="1">
        <f>YEAR(Table1[[#This Row],[Date]])</f>
        <v>2016</v>
      </c>
      <c r="D327" s="5">
        <v>109.629997</v>
      </c>
      <c r="E327" s="5">
        <v>110.230003</v>
      </c>
      <c r="F327" s="5">
        <v>109.209999</v>
      </c>
      <c r="G327" s="5">
        <v>109.379997</v>
      </c>
      <c r="H327" s="1">
        <v>33794400</v>
      </c>
      <c r="I327">
        <v>108.351518</v>
      </c>
      <c r="J327">
        <v>96.855077739999999</v>
      </c>
      <c r="K327">
        <v>104.66033349999999</v>
      </c>
      <c r="L327">
        <v>112.4655892</v>
      </c>
      <c r="M327" s="5">
        <f>Table1[[#This Row],[AAPL.Close]] -Table1[[#This Row],[AAPL.Open]]</f>
        <v>-0.25</v>
      </c>
      <c r="N327" s="4">
        <f>(Table1[[#This Row],[AAPL.Close]] - Table1[[#This Row],[AAPL.Open]]) /Table1[[#This Row],[AAPL.Open]]</f>
        <v>-2.2803977637616828E-3</v>
      </c>
      <c r="O327" s="4" t="str">
        <f>IF(Table1[[#This Row],[AAPL.Close]] &gt; Table1[[#This Row],[AAPL.Open]], "Up", "Down")</f>
        <v>Down</v>
      </c>
      <c r="P327" s="2" t="s">
        <v>11</v>
      </c>
    </row>
    <row r="328" spans="1:16" x14ac:dyDescent="0.35">
      <c r="A328" s="3">
        <v>42599</v>
      </c>
      <c r="B328" s="2" t="str">
        <f>TEXT(Table1[[#This Row],[Date]],"mmm")</f>
        <v>Aug</v>
      </c>
      <c r="C328" s="1">
        <f>YEAR(Table1[[#This Row],[Date]])</f>
        <v>2016</v>
      </c>
      <c r="D328" s="5">
        <v>109.099998</v>
      </c>
      <c r="E328" s="5">
        <v>109.370003</v>
      </c>
      <c r="F328" s="5">
        <v>108.339996</v>
      </c>
      <c r="G328" s="5">
        <v>109.220001</v>
      </c>
      <c r="H328" s="1">
        <v>25356000</v>
      </c>
      <c r="I328">
        <v>108.193026</v>
      </c>
      <c r="J328">
        <v>97.385942450000002</v>
      </c>
      <c r="K328">
        <v>105.1065002</v>
      </c>
      <c r="L328">
        <v>112.8270579</v>
      </c>
      <c r="M328" s="5">
        <f>Table1[[#This Row],[AAPL.Close]] -Table1[[#This Row],[AAPL.Open]]</f>
        <v>0.12000299999999697</v>
      </c>
      <c r="N328" s="4">
        <f>(Table1[[#This Row],[AAPL.Close]] - Table1[[#This Row],[AAPL.Open]]) /Table1[[#This Row],[AAPL.Open]]</f>
        <v>1.0999358588438927E-3</v>
      </c>
      <c r="O328" s="4" t="str">
        <f>IF(Table1[[#This Row],[AAPL.Close]] &gt; Table1[[#This Row],[AAPL.Open]], "Up", "Down")</f>
        <v>Up</v>
      </c>
      <c r="P328" s="2" t="s">
        <v>10</v>
      </c>
    </row>
    <row r="329" spans="1:16" x14ac:dyDescent="0.35">
      <c r="A329" s="3">
        <v>42600</v>
      </c>
      <c r="B329" s="2" t="str">
        <f>TEXT(Table1[[#This Row],[Date]],"mmm")</f>
        <v>Aug</v>
      </c>
      <c r="C329" s="1">
        <f>YEAR(Table1[[#This Row],[Date]])</f>
        <v>2016</v>
      </c>
      <c r="D329" s="5">
        <v>109.230003</v>
      </c>
      <c r="E329" s="5">
        <v>109.599998</v>
      </c>
      <c r="F329" s="5">
        <v>109.019997</v>
      </c>
      <c r="G329" s="5">
        <v>109.08000199999999</v>
      </c>
      <c r="H329" s="1">
        <v>21984700</v>
      </c>
      <c r="I329">
        <v>108.054343</v>
      </c>
      <c r="J329">
        <v>98.051261890000006</v>
      </c>
      <c r="K329">
        <v>105.57550019999999</v>
      </c>
      <c r="L329">
        <v>113.0997385</v>
      </c>
      <c r="M329" s="5">
        <f>Table1[[#This Row],[AAPL.Close]] -Table1[[#This Row],[AAPL.Open]]</f>
        <v>-0.15000100000000316</v>
      </c>
      <c r="N329" s="4">
        <f>(Table1[[#This Row],[AAPL.Close]] - Table1[[#This Row],[AAPL.Open]]) /Table1[[#This Row],[AAPL.Open]]</f>
        <v>-1.3732582246656457E-3</v>
      </c>
      <c r="O329" s="4" t="str">
        <f>IF(Table1[[#This Row],[AAPL.Close]] &gt; Table1[[#This Row],[AAPL.Open]], "Up", "Down")</f>
        <v>Down</v>
      </c>
      <c r="P329" s="2" t="s">
        <v>11</v>
      </c>
    </row>
    <row r="330" spans="1:16" x14ac:dyDescent="0.35">
      <c r="A330" s="3">
        <v>42601</v>
      </c>
      <c r="B330" s="2" t="str">
        <f>TEXT(Table1[[#This Row],[Date]],"mmm")</f>
        <v>Aug</v>
      </c>
      <c r="C330" s="1">
        <f>YEAR(Table1[[#This Row],[Date]])</f>
        <v>2016</v>
      </c>
      <c r="D330" s="5">
        <v>108.769997</v>
      </c>
      <c r="E330" s="5">
        <v>109.69000200000001</v>
      </c>
      <c r="F330" s="5">
        <v>108.360001</v>
      </c>
      <c r="G330" s="5">
        <v>109.360001</v>
      </c>
      <c r="H330" s="1">
        <v>25368100</v>
      </c>
      <c r="I330">
        <v>108.331709</v>
      </c>
      <c r="J330">
        <v>99.110675459999996</v>
      </c>
      <c r="K330">
        <v>106.0945002</v>
      </c>
      <c r="L330">
        <v>113.0783249</v>
      </c>
      <c r="M330" s="5">
        <f>Table1[[#This Row],[AAPL.Close]] -Table1[[#This Row],[AAPL.Open]]</f>
        <v>0.59000399999999331</v>
      </c>
      <c r="N330" s="4">
        <f>(Table1[[#This Row],[AAPL.Close]] - Table1[[#This Row],[AAPL.Open]]) /Table1[[#This Row],[AAPL.Open]]</f>
        <v>5.4243267102415506E-3</v>
      </c>
      <c r="O330" s="4" t="str">
        <f>IF(Table1[[#This Row],[AAPL.Close]] &gt; Table1[[#This Row],[AAPL.Open]], "Up", "Down")</f>
        <v>Up</v>
      </c>
      <c r="P330" s="2" t="s">
        <v>10</v>
      </c>
    </row>
    <row r="331" spans="1:16" x14ac:dyDescent="0.35">
      <c r="A331" s="3">
        <v>42604</v>
      </c>
      <c r="B331" s="2" t="str">
        <f>TEXT(Table1[[#This Row],[Date]],"mmm")</f>
        <v>Aug</v>
      </c>
      <c r="C331" s="1">
        <f>YEAR(Table1[[#This Row],[Date]])</f>
        <v>2016</v>
      </c>
      <c r="D331" s="5">
        <v>108.860001</v>
      </c>
      <c r="E331" s="5">
        <v>109.099998</v>
      </c>
      <c r="F331" s="5">
        <v>107.849998</v>
      </c>
      <c r="G331" s="5">
        <v>108.510002</v>
      </c>
      <c r="H331" s="1">
        <v>25820200</v>
      </c>
      <c r="I331">
        <v>107.48970300000001</v>
      </c>
      <c r="J331">
        <v>100.746454</v>
      </c>
      <c r="K331">
        <v>106.6338337</v>
      </c>
      <c r="L331">
        <v>112.5212133</v>
      </c>
      <c r="M331" s="5">
        <f>Table1[[#This Row],[AAPL.Close]] -Table1[[#This Row],[AAPL.Open]]</f>
        <v>-0.34999899999999684</v>
      </c>
      <c r="N331" s="4">
        <f>(Table1[[#This Row],[AAPL.Close]] - Table1[[#This Row],[AAPL.Open]]) /Table1[[#This Row],[AAPL.Open]]</f>
        <v>-3.2151294946249067E-3</v>
      </c>
      <c r="O331" s="4" t="str">
        <f>IF(Table1[[#This Row],[AAPL.Close]] &gt; Table1[[#This Row],[AAPL.Open]], "Up", "Down")</f>
        <v>Down</v>
      </c>
      <c r="P331" s="2" t="s">
        <v>11</v>
      </c>
    </row>
    <row r="332" spans="1:16" x14ac:dyDescent="0.35">
      <c r="A332" s="3">
        <v>42605</v>
      </c>
      <c r="B332" s="2" t="str">
        <f>TEXT(Table1[[#This Row],[Date]],"mmm")</f>
        <v>Aug</v>
      </c>
      <c r="C332" s="1">
        <f>YEAR(Table1[[#This Row],[Date]])</f>
        <v>2016</v>
      </c>
      <c r="D332" s="5">
        <v>108.589996</v>
      </c>
      <c r="E332" s="5">
        <v>109.32</v>
      </c>
      <c r="F332" s="5">
        <v>108.529999</v>
      </c>
      <c r="G332" s="5">
        <v>108.849998</v>
      </c>
      <c r="H332" s="1">
        <v>21257700</v>
      </c>
      <c r="I332">
        <v>107.826502</v>
      </c>
      <c r="J332">
        <v>103.2539397</v>
      </c>
      <c r="K332">
        <v>107.22783370000001</v>
      </c>
      <c r="L332">
        <v>111.2017276</v>
      </c>
      <c r="M332" s="5">
        <f>Table1[[#This Row],[AAPL.Close]] -Table1[[#This Row],[AAPL.Open]]</f>
        <v>0.26000200000000007</v>
      </c>
      <c r="N332" s="4">
        <f>(Table1[[#This Row],[AAPL.Close]] - Table1[[#This Row],[AAPL.Open]]) /Table1[[#This Row],[AAPL.Open]]</f>
        <v>2.3943457922219655E-3</v>
      </c>
      <c r="O332" s="4" t="str">
        <f>IF(Table1[[#This Row],[AAPL.Close]] &gt; Table1[[#This Row],[AAPL.Open]], "Up", "Down")</f>
        <v>Up</v>
      </c>
      <c r="P332" s="2" t="s">
        <v>10</v>
      </c>
    </row>
    <row r="333" spans="1:16" x14ac:dyDescent="0.35">
      <c r="A333" s="3">
        <v>42606</v>
      </c>
      <c r="B333" s="2" t="str">
        <f>TEXT(Table1[[#This Row],[Date]],"mmm")</f>
        <v>Aug</v>
      </c>
      <c r="C333" s="1">
        <f>YEAR(Table1[[#This Row],[Date]])</f>
        <v>2016</v>
      </c>
      <c r="D333" s="5">
        <v>108.57</v>
      </c>
      <c r="E333" s="5">
        <v>108.75</v>
      </c>
      <c r="F333" s="5">
        <v>107.68</v>
      </c>
      <c r="G333" s="5">
        <v>108.029999</v>
      </c>
      <c r="H333" s="1">
        <v>23675100</v>
      </c>
      <c r="I333">
        <v>107.014213</v>
      </c>
      <c r="J333">
        <v>103.9008025</v>
      </c>
      <c r="K333">
        <v>107.46800039999999</v>
      </c>
      <c r="L333">
        <v>111.0351983</v>
      </c>
      <c r="M333" s="5">
        <f>Table1[[#This Row],[AAPL.Close]] -Table1[[#This Row],[AAPL.Open]]</f>
        <v>-0.54000099999998952</v>
      </c>
      <c r="N333" s="4">
        <f>(Table1[[#This Row],[AAPL.Close]] - Table1[[#This Row],[AAPL.Open]]) /Table1[[#This Row],[AAPL.Open]]</f>
        <v>-4.973758865248131E-3</v>
      </c>
      <c r="O333" s="4" t="str">
        <f>IF(Table1[[#This Row],[AAPL.Close]] &gt; Table1[[#This Row],[AAPL.Open]], "Up", "Down")</f>
        <v>Down</v>
      </c>
      <c r="P333" s="2" t="s">
        <v>11</v>
      </c>
    </row>
    <row r="334" spans="1:16" x14ac:dyDescent="0.35">
      <c r="A334" s="3">
        <v>42607</v>
      </c>
      <c r="B334" s="2" t="str">
        <f>TEXT(Table1[[#This Row],[Date]],"mmm")</f>
        <v>Aug</v>
      </c>
      <c r="C334" s="1">
        <f>YEAR(Table1[[#This Row],[Date]])</f>
        <v>2016</v>
      </c>
      <c r="D334" s="5">
        <v>107.389999</v>
      </c>
      <c r="E334" s="5">
        <v>107.879997</v>
      </c>
      <c r="F334" s="5">
        <v>106.68</v>
      </c>
      <c r="G334" s="5">
        <v>107.57</v>
      </c>
      <c r="H334" s="1">
        <v>25086200</v>
      </c>
      <c r="I334">
        <v>106.558539</v>
      </c>
      <c r="J334">
        <v>104.47876789999999</v>
      </c>
      <c r="K334">
        <v>107.64333379999999</v>
      </c>
      <c r="L334">
        <v>110.80789969999999</v>
      </c>
      <c r="M334" s="5">
        <f>Table1[[#This Row],[AAPL.Close]] -Table1[[#This Row],[AAPL.Open]]</f>
        <v>0.18000099999999009</v>
      </c>
      <c r="N334" s="4">
        <f>(Table1[[#This Row],[AAPL.Close]] - Table1[[#This Row],[AAPL.Open]]) /Table1[[#This Row],[AAPL.Open]]</f>
        <v>1.6761430456851954E-3</v>
      </c>
      <c r="O334" s="4" t="str">
        <f>IF(Table1[[#This Row],[AAPL.Close]] &gt; Table1[[#This Row],[AAPL.Open]], "Up", "Down")</f>
        <v>Up</v>
      </c>
      <c r="P334" s="2" t="s">
        <v>10</v>
      </c>
    </row>
    <row r="335" spans="1:16" x14ac:dyDescent="0.35">
      <c r="A335" s="3">
        <v>42608</v>
      </c>
      <c r="B335" s="2" t="str">
        <f>TEXT(Table1[[#This Row],[Date]],"mmm")</f>
        <v>Aug</v>
      </c>
      <c r="C335" s="1">
        <f>YEAR(Table1[[#This Row],[Date]])</f>
        <v>2016</v>
      </c>
      <c r="D335" s="5">
        <v>107.410004</v>
      </c>
      <c r="E335" s="5">
        <v>107.949997</v>
      </c>
      <c r="F335" s="5">
        <v>106.30999799999999</v>
      </c>
      <c r="G335" s="5">
        <v>106.94000200000001</v>
      </c>
      <c r="H335" s="1">
        <v>27766300</v>
      </c>
      <c r="I335">
        <v>105.934466</v>
      </c>
      <c r="J335">
        <v>105.0415368</v>
      </c>
      <c r="K335">
        <v>107.7893337</v>
      </c>
      <c r="L335">
        <v>110.5371306</v>
      </c>
      <c r="M335" s="5">
        <f>Table1[[#This Row],[AAPL.Close]] -Table1[[#This Row],[AAPL.Open]]</f>
        <v>-0.47000199999999381</v>
      </c>
      <c r="N335" s="4">
        <f>(Table1[[#This Row],[AAPL.Close]] - Table1[[#This Row],[AAPL.Open]]) /Table1[[#This Row],[AAPL.Open]]</f>
        <v>-4.3757749045423532E-3</v>
      </c>
      <c r="O335" s="4" t="str">
        <f>IF(Table1[[#This Row],[AAPL.Close]] &gt; Table1[[#This Row],[AAPL.Open]], "Up", "Down")</f>
        <v>Down</v>
      </c>
      <c r="P335" s="2" t="s">
        <v>11</v>
      </c>
    </row>
    <row r="336" spans="1:16" x14ac:dyDescent="0.35">
      <c r="A336" s="3">
        <v>42611</v>
      </c>
      <c r="B336" s="2" t="str">
        <f>TEXT(Table1[[#This Row],[Date]],"mmm")</f>
        <v>Aug</v>
      </c>
      <c r="C336" s="1">
        <f>YEAR(Table1[[#This Row],[Date]])</f>
        <v>2016</v>
      </c>
      <c r="D336" s="5">
        <v>106.620003</v>
      </c>
      <c r="E336" s="5">
        <v>107.44000200000001</v>
      </c>
      <c r="F336" s="5">
        <v>106.290001</v>
      </c>
      <c r="G336" s="5">
        <v>106.82</v>
      </c>
      <c r="H336" s="1">
        <v>24970300</v>
      </c>
      <c r="I336">
        <v>105.815591</v>
      </c>
      <c r="J336">
        <v>105.2675866</v>
      </c>
      <c r="K336">
        <v>107.8550003</v>
      </c>
      <c r="L336">
        <v>110.44241390000001</v>
      </c>
      <c r="M336" s="5">
        <f>Table1[[#This Row],[AAPL.Close]] -Table1[[#This Row],[AAPL.Open]]</f>
        <v>0.19999699999999621</v>
      </c>
      <c r="N336" s="4">
        <f>(Table1[[#This Row],[AAPL.Close]] - Table1[[#This Row],[AAPL.Open]]) /Table1[[#This Row],[AAPL.Open]]</f>
        <v>1.8757924814539371E-3</v>
      </c>
      <c r="O336" s="4" t="str">
        <f>IF(Table1[[#This Row],[AAPL.Close]] &gt; Table1[[#This Row],[AAPL.Open]], "Up", "Down")</f>
        <v>Up</v>
      </c>
      <c r="P336" s="2" t="s">
        <v>10</v>
      </c>
    </row>
    <row r="337" spans="1:16" x14ac:dyDescent="0.35">
      <c r="A337" s="3">
        <v>42612</v>
      </c>
      <c r="B337" s="2" t="str">
        <f>TEXT(Table1[[#This Row],[Date]],"mmm")</f>
        <v>Aug</v>
      </c>
      <c r="C337" s="1">
        <f>YEAR(Table1[[#This Row],[Date]])</f>
        <v>2016</v>
      </c>
      <c r="D337" s="5">
        <v>105.800003</v>
      </c>
      <c r="E337" s="5">
        <v>106.5</v>
      </c>
      <c r="F337" s="5">
        <v>105.5</v>
      </c>
      <c r="G337" s="5">
        <v>106</v>
      </c>
      <c r="H337" s="1">
        <v>24863900</v>
      </c>
      <c r="I337">
        <v>105.00330200000001</v>
      </c>
      <c r="J337">
        <v>105.55375359999999</v>
      </c>
      <c r="K337">
        <v>107.9125002</v>
      </c>
      <c r="L337">
        <v>110.2712468</v>
      </c>
      <c r="M337" s="5">
        <f>Table1[[#This Row],[AAPL.Close]] -Table1[[#This Row],[AAPL.Open]]</f>
        <v>0.19999699999999621</v>
      </c>
      <c r="N337" s="4">
        <f>(Table1[[#This Row],[AAPL.Close]] - Table1[[#This Row],[AAPL.Open]]) /Table1[[#This Row],[AAPL.Open]]</f>
        <v>1.8903307592533453E-3</v>
      </c>
      <c r="O337" s="4" t="str">
        <f>IF(Table1[[#This Row],[AAPL.Close]] &gt; Table1[[#This Row],[AAPL.Open]], "Up", "Down")</f>
        <v>Up</v>
      </c>
      <c r="P337" s="2" t="s">
        <v>10</v>
      </c>
    </row>
    <row r="338" spans="1:16" x14ac:dyDescent="0.35">
      <c r="A338" s="3">
        <v>42613</v>
      </c>
      <c r="B338" s="2" t="str">
        <f>TEXT(Table1[[#This Row],[Date]],"mmm")</f>
        <v>Aug</v>
      </c>
      <c r="C338" s="1">
        <f>YEAR(Table1[[#This Row],[Date]])</f>
        <v>2016</v>
      </c>
      <c r="D338" s="5">
        <v>105.660004</v>
      </c>
      <c r="E338" s="5">
        <v>106.57</v>
      </c>
      <c r="F338" s="5">
        <v>105.639999</v>
      </c>
      <c r="G338" s="5">
        <v>106.099998</v>
      </c>
      <c r="H338" s="1">
        <v>29662400</v>
      </c>
      <c r="I338">
        <v>105.10236</v>
      </c>
      <c r="J338">
        <v>105.7042829</v>
      </c>
      <c r="K338">
        <v>107.94433359999999</v>
      </c>
      <c r="L338">
        <v>110.1843843</v>
      </c>
      <c r="M338" s="5">
        <f>Table1[[#This Row],[AAPL.Close]] -Table1[[#This Row],[AAPL.Open]]</f>
        <v>0.43999399999999866</v>
      </c>
      <c r="N338" s="4">
        <f>(Table1[[#This Row],[AAPL.Close]] - Table1[[#This Row],[AAPL.Open]]) /Table1[[#This Row],[AAPL.Open]]</f>
        <v>4.1642436432237752E-3</v>
      </c>
      <c r="O338" s="4" t="str">
        <f>IF(Table1[[#This Row],[AAPL.Close]] &gt; Table1[[#This Row],[AAPL.Open]], "Up", "Down")</f>
        <v>Up</v>
      </c>
      <c r="P338" s="2" t="s">
        <v>10</v>
      </c>
    </row>
    <row r="339" spans="1:16" x14ac:dyDescent="0.35">
      <c r="A339" s="3">
        <v>42248</v>
      </c>
      <c r="B339" s="2" t="str">
        <f>TEXT(Table1[[#This Row],[Date]],"mmm")</f>
        <v>Sep</v>
      </c>
      <c r="C339" s="1">
        <f>YEAR(Table1[[#This Row],[Date]])</f>
        <v>2015</v>
      </c>
      <c r="D339" s="5">
        <v>110.150002</v>
      </c>
      <c r="E339" s="5">
        <v>111.879997</v>
      </c>
      <c r="F339" s="5">
        <v>107.360001</v>
      </c>
      <c r="G339" s="5">
        <v>107.720001</v>
      </c>
      <c r="H339" s="1">
        <v>76845900</v>
      </c>
      <c r="I339">
        <v>104.473386</v>
      </c>
      <c r="J339">
        <v>104.44375429999999</v>
      </c>
      <c r="K339">
        <v>112.7790001</v>
      </c>
      <c r="L339">
        <v>121.11424599999999</v>
      </c>
      <c r="M339" s="5">
        <f>Table1[[#This Row],[AAPL.Close]] -Table1[[#This Row],[AAPL.Open]]</f>
        <v>-2.4300010000000043</v>
      </c>
      <c r="N339" s="4">
        <f>(Table1[[#This Row],[AAPL.Close]] - Table1[[#This Row],[AAPL.Open]]) /Table1[[#This Row],[AAPL.Open]]</f>
        <v>-2.206083482413377E-2</v>
      </c>
      <c r="O339" s="4" t="str">
        <f>IF(Table1[[#This Row],[AAPL.Close]] &gt; Table1[[#This Row],[AAPL.Open]], "Up", "Down")</f>
        <v>Down</v>
      </c>
      <c r="P339" s="2" t="s">
        <v>11</v>
      </c>
    </row>
    <row r="340" spans="1:16" x14ac:dyDescent="0.35">
      <c r="A340" s="3">
        <v>42249</v>
      </c>
      <c r="B340" s="2" t="str">
        <f>TEXT(Table1[[#This Row],[Date]],"mmm")</f>
        <v>Sep</v>
      </c>
      <c r="C340" s="1">
        <f>YEAR(Table1[[#This Row],[Date]])</f>
        <v>2015</v>
      </c>
      <c r="D340" s="5">
        <v>110.230003</v>
      </c>
      <c r="E340" s="5">
        <v>112.339996</v>
      </c>
      <c r="F340" s="5">
        <v>109.129997</v>
      </c>
      <c r="G340" s="5">
        <v>112.339996</v>
      </c>
      <c r="H340" s="1">
        <v>61888800</v>
      </c>
      <c r="I340">
        <v>108.954138</v>
      </c>
      <c r="J340">
        <v>104.29740320000001</v>
      </c>
      <c r="K340">
        <v>112.5934999</v>
      </c>
      <c r="L340">
        <v>120.8895966</v>
      </c>
      <c r="M340" s="5">
        <f>Table1[[#This Row],[AAPL.Close]] -Table1[[#This Row],[AAPL.Open]]</f>
        <v>2.1099930000000029</v>
      </c>
      <c r="N340" s="4">
        <f>(Table1[[#This Row],[AAPL.Close]] - Table1[[#This Row],[AAPL.Open]]) /Table1[[#This Row],[AAPL.Open]]</f>
        <v>1.9141730405287233E-2</v>
      </c>
      <c r="O340" s="4" t="str">
        <f>IF(Table1[[#This Row],[AAPL.Close]] &gt; Table1[[#This Row],[AAPL.Open]], "Up", "Down")</f>
        <v>Up</v>
      </c>
      <c r="P340" s="2" t="s">
        <v>10</v>
      </c>
    </row>
    <row r="341" spans="1:16" x14ac:dyDescent="0.35">
      <c r="A341" s="3">
        <v>42250</v>
      </c>
      <c r="B341" s="2" t="str">
        <f>TEXT(Table1[[#This Row],[Date]],"mmm")</f>
        <v>Sep</v>
      </c>
      <c r="C341" s="1">
        <f>YEAR(Table1[[#This Row],[Date]])</f>
        <v>2015</v>
      </c>
      <c r="D341" s="5">
        <v>112.489998</v>
      </c>
      <c r="E341" s="5">
        <v>112.779999</v>
      </c>
      <c r="F341" s="5">
        <v>110.040001</v>
      </c>
      <c r="G341" s="5">
        <v>110.370003</v>
      </c>
      <c r="H341" s="1">
        <v>53233900</v>
      </c>
      <c r="I341">
        <v>107.043519</v>
      </c>
      <c r="J341">
        <v>104.1557511</v>
      </c>
      <c r="K341">
        <v>112.3841666</v>
      </c>
      <c r="L341">
        <v>120.6125821</v>
      </c>
      <c r="M341" s="5">
        <f>Table1[[#This Row],[AAPL.Close]] -Table1[[#This Row],[AAPL.Open]]</f>
        <v>-2.119995000000003</v>
      </c>
      <c r="N341" s="4">
        <f>(Table1[[#This Row],[AAPL.Close]] - Table1[[#This Row],[AAPL.Open]]) /Table1[[#This Row],[AAPL.Open]]</f>
        <v>-1.8846075541756192E-2</v>
      </c>
      <c r="O341" s="4" t="str">
        <f>IF(Table1[[#This Row],[AAPL.Close]] &gt; Table1[[#This Row],[AAPL.Open]], "Up", "Down")</f>
        <v>Down</v>
      </c>
      <c r="P341" s="2" t="s">
        <v>11</v>
      </c>
    </row>
    <row r="342" spans="1:16" x14ac:dyDescent="0.35">
      <c r="A342" s="3">
        <v>42251</v>
      </c>
      <c r="B342" s="2" t="str">
        <f>TEXT(Table1[[#This Row],[Date]],"mmm")</f>
        <v>Sep</v>
      </c>
      <c r="C342" s="1">
        <f>YEAR(Table1[[#This Row],[Date]])</f>
        <v>2015</v>
      </c>
      <c r="D342" s="5">
        <v>108.970001</v>
      </c>
      <c r="E342" s="5">
        <v>110.449997</v>
      </c>
      <c r="F342" s="5">
        <v>108.510002</v>
      </c>
      <c r="G342" s="5">
        <v>109.269997</v>
      </c>
      <c r="H342" s="1">
        <v>49996300</v>
      </c>
      <c r="I342">
        <v>105.97666599999999</v>
      </c>
      <c r="J342">
        <v>103.8818508</v>
      </c>
      <c r="K342">
        <v>112.0835</v>
      </c>
      <c r="L342">
        <v>120.2851491</v>
      </c>
      <c r="M342" s="5">
        <f>Table1[[#This Row],[AAPL.Close]] -Table1[[#This Row],[AAPL.Open]]</f>
        <v>0.29999600000000726</v>
      </c>
      <c r="N342" s="4">
        <f>(Table1[[#This Row],[AAPL.Close]] - Table1[[#This Row],[AAPL.Open]]) /Table1[[#This Row],[AAPL.Open]]</f>
        <v>2.7530145659079813E-3</v>
      </c>
      <c r="O342" s="4" t="str">
        <f>IF(Table1[[#This Row],[AAPL.Close]] &gt; Table1[[#This Row],[AAPL.Open]], "Up", "Down")</f>
        <v>Up</v>
      </c>
      <c r="P342" s="2" t="s">
        <v>10</v>
      </c>
    </row>
    <row r="343" spans="1:16" x14ac:dyDescent="0.35">
      <c r="A343" s="3">
        <v>42255</v>
      </c>
      <c r="B343" s="2" t="str">
        <f>TEXT(Table1[[#This Row],[Date]],"mmm")</f>
        <v>Sep</v>
      </c>
      <c r="C343" s="1">
        <f>YEAR(Table1[[#This Row],[Date]])</f>
        <v>2015</v>
      </c>
      <c r="D343" s="5">
        <v>111.75</v>
      </c>
      <c r="E343" s="5">
        <v>112.55999799999999</v>
      </c>
      <c r="F343" s="5">
        <v>110.32</v>
      </c>
      <c r="G343" s="5">
        <v>112.30999799999999</v>
      </c>
      <c r="H343" s="1">
        <v>54843600</v>
      </c>
      <c r="I343">
        <v>108.925043</v>
      </c>
      <c r="J343">
        <v>104.1221378</v>
      </c>
      <c r="K343">
        <v>111.7326666</v>
      </c>
      <c r="L343">
        <v>119.3431954</v>
      </c>
      <c r="M343" s="5">
        <f>Table1[[#This Row],[AAPL.Close]] -Table1[[#This Row],[AAPL.Open]]</f>
        <v>0.55999799999999311</v>
      </c>
      <c r="N343" s="4">
        <f>(Table1[[#This Row],[AAPL.Close]] - Table1[[#This Row],[AAPL.Open]]) /Table1[[#This Row],[AAPL.Open]]</f>
        <v>5.0111677852348376E-3</v>
      </c>
      <c r="O343" s="4" t="str">
        <f>IF(Table1[[#This Row],[AAPL.Close]] &gt; Table1[[#This Row],[AAPL.Open]], "Up", "Down")</f>
        <v>Up</v>
      </c>
      <c r="P343" s="2" t="s">
        <v>10</v>
      </c>
    </row>
    <row r="344" spans="1:16" x14ac:dyDescent="0.35">
      <c r="A344" s="3">
        <v>42256</v>
      </c>
      <c r="B344" s="2" t="str">
        <f>TEXT(Table1[[#This Row],[Date]],"mmm")</f>
        <v>Sep</v>
      </c>
      <c r="C344" s="1">
        <f>YEAR(Table1[[#This Row],[Date]])</f>
        <v>2015</v>
      </c>
      <c r="D344" s="5">
        <v>113.760002</v>
      </c>
      <c r="E344" s="5">
        <v>114.019997</v>
      </c>
      <c r="F344" s="5">
        <v>109.769997</v>
      </c>
      <c r="G344" s="5">
        <v>110.150002</v>
      </c>
      <c r="H344" s="1">
        <v>85010800</v>
      </c>
      <c r="I344">
        <v>106.83014799999999</v>
      </c>
      <c r="J344">
        <v>104.0861412</v>
      </c>
      <c r="K344">
        <v>111.5483332</v>
      </c>
      <c r="L344">
        <v>119.0105251</v>
      </c>
      <c r="M344" s="5">
        <f>Table1[[#This Row],[AAPL.Close]] -Table1[[#This Row],[AAPL.Open]]</f>
        <v>-3.6099999999999994</v>
      </c>
      <c r="N344" s="4">
        <f>(Table1[[#This Row],[AAPL.Close]] - Table1[[#This Row],[AAPL.Open]]) /Table1[[#This Row],[AAPL.Open]]</f>
        <v>-3.1733473422407281E-2</v>
      </c>
      <c r="O344" s="4" t="str">
        <f>IF(Table1[[#This Row],[AAPL.Close]] &gt; Table1[[#This Row],[AAPL.Open]], "Up", "Down")</f>
        <v>Down</v>
      </c>
      <c r="P344" s="2" t="s">
        <v>11</v>
      </c>
    </row>
    <row r="345" spans="1:16" x14ac:dyDescent="0.35">
      <c r="A345" s="3">
        <v>42257</v>
      </c>
      <c r="B345" s="2" t="str">
        <f>TEXT(Table1[[#This Row],[Date]],"mmm")</f>
        <v>Sep</v>
      </c>
      <c r="C345" s="1">
        <f>YEAR(Table1[[#This Row],[Date]])</f>
        <v>2015</v>
      </c>
      <c r="D345" s="5">
        <v>110.269997</v>
      </c>
      <c r="E345" s="5">
        <v>113.279999</v>
      </c>
      <c r="F345" s="5">
        <v>109.900002</v>
      </c>
      <c r="G345" s="5">
        <v>112.57</v>
      </c>
      <c r="H345" s="1">
        <v>62892800</v>
      </c>
      <c r="I345">
        <v>109.177209</v>
      </c>
      <c r="J345">
        <v>104.05778909999999</v>
      </c>
      <c r="K345">
        <v>111.4726667</v>
      </c>
      <c r="L345">
        <v>118.88754419999999</v>
      </c>
      <c r="M345" s="5">
        <f>Table1[[#This Row],[AAPL.Close]] -Table1[[#This Row],[AAPL.Open]]</f>
        <v>2.3000029999999896</v>
      </c>
      <c r="N345" s="4">
        <f>(Table1[[#This Row],[AAPL.Close]] - Table1[[#This Row],[AAPL.Open]]) /Table1[[#This Row],[AAPL.Open]]</f>
        <v>2.0857922032953256E-2</v>
      </c>
      <c r="O345" s="4" t="str">
        <f>IF(Table1[[#This Row],[AAPL.Close]] &gt; Table1[[#This Row],[AAPL.Open]], "Up", "Down")</f>
        <v>Up</v>
      </c>
      <c r="P345" s="2" t="s">
        <v>10</v>
      </c>
    </row>
    <row r="346" spans="1:16" x14ac:dyDescent="0.35">
      <c r="A346" s="3">
        <v>42258</v>
      </c>
      <c r="B346" s="2" t="str">
        <f>TEXT(Table1[[#This Row],[Date]],"mmm")</f>
        <v>Sep</v>
      </c>
      <c r="C346" s="1">
        <f>YEAR(Table1[[#This Row],[Date]])</f>
        <v>2015</v>
      </c>
      <c r="D346" s="5">
        <v>111.790001</v>
      </c>
      <c r="E346" s="5">
        <v>114.209999</v>
      </c>
      <c r="F346" s="5">
        <v>111.760002</v>
      </c>
      <c r="G346" s="5">
        <v>114.209999</v>
      </c>
      <c r="H346" s="1">
        <v>49915500</v>
      </c>
      <c r="I346">
        <v>110.76778</v>
      </c>
      <c r="J346">
        <v>104.11800150000001</v>
      </c>
      <c r="K346">
        <v>111.3741666</v>
      </c>
      <c r="L346">
        <v>118.63033160000001</v>
      </c>
      <c r="M346" s="5">
        <f>Table1[[#This Row],[AAPL.Close]] -Table1[[#This Row],[AAPL.Open]]</f>
        <v>2.4199979999999925</v>
      </c>
      <c r="N346" s="4">
        <f>(Table1[[#This Row],[AAPL.Close]] - Table1[[#This Row],[AAPL.Open]]) /Table1[[#This Row],[AAPL.Open]]</f>
        <v>2.1647714270974849E-2</v>
      </c>
      <c r="O346" s="4" t="str">
        <f>IF(Table1[[#This Row],[AAPL.Close]] &gt; Table1[[#This Row],[AAPL.Open]], "Up", "Down")</f>
        <v>Up</v>
      </c>
      <c r="P346" s="2" t="s">
        <v>10</v>
      </c>
    </row>
    <row r="347" spans="1:16" x14ac:dyDescent="0.35">
      <c r="A347" s="3">
        <v>42261</v>
      </c>
      <c r="B347" s="2" t="str">
        <f>TEXT(Table1[[#This Row],[Date]],"mmm")</f>
        <v>Sep</v>
      </c>
      <c r="C347" s="1">
        <f>YEAR(Table1[[#This Row],[Date]])</f>
        <v>2015</v>
      </c>
      <c r="D347" s="5">
        <v>116.58000199999999</v>
      </c>
      <c r="E347" s="5">
        <v>116.889999</v>
      </c>
      <c r="F347" s="5">
        <v>114.860001</v>
      </c>
      <c r="G347" s="5">
        <v>115.30999799999999</v>
      </c>
      <c r="H347" s="1">
        <v>58363400</v>
      </c>
      <c r="I347">
        <v>111.834625</v>
      </c>
      <c r="J347">
        <v>104.1011364</v>
      </c>
      <c r="K347">
        <v>111.3871666</v>
      </c>
      <c r="L347">
        <v>118.67319670000001</v>
      </c>
      <c r="M347" s="5">
        <f>Table1[[#This Row],[AAPL.Close]] -Table1[[#This Row],[AAPL.Open]]</f>
        <v>-1.2700040000000001</v>
      </c>
      <c r="N347" s="4">
        <f>(Table1[[#This Row],[AAPL.Close]] - Table1[[#This Row],[AAPL.Open]]) /Table1[[#This Row],[AAPL.Open]]</f>
        <v>-1.0893840952241536E-2</v>
      </c>
      <c r="O347" s="4" t="str">
        <f>IF(Table1[[#This Row],[AAPL.Close]] &gt; Table1[[#This Row],[AAPL.Open]], "Up", "Down")</f>
        <v>Down</v>
      </c>
      <c r="P347" s="2" t="s">
        <v>11</v>
      </c>
    </row>
    <row r="348" spans="1:16" x14ac:dyDescent="0.35">
      <c r="A348" s="3">
        <v>42262</v>
      </c>
      <c r="B348" s="2" t="str">
        <f>TEXT(Table1[[#This Row],[Date]],"mmm")</f>
        <v>Sep</v>
      </c>
      <c r="C348" s="1">
        <f>YEAR(Table1[[#This Row],[Date]])</f>
        <v>2015</v>
      </c>
      <c r="D348" s="5">
        <v>115.93</v>
      </c>
      <c r="E348" s="5">
        <v>116.529999</v>
      </c>
      <c r="F348" s="5">
        <v>114.41999800000001</v>
      </c>
      <c r="G348" s="5">
        <v>116.279999</v>
      </c>
      <c r="H348" s="1">
        <v>43341200</v>
      </c>
      <c r="I348">
        <v>112.775391</v>
      </c>
      <c r="J348">
        <v>104.18908930000001</v>
      </c>
      <c r="K348">
        <v>111.3358331</v>
      </c>
      <c r="L348">
        <v>118.4825768</v>
      </c>
      <c r="M348" s="5">
        <f>Table1[[#This Row],[AAPL.Close]] -Table1[[#This Row],[AAPL.Open]]</f>
        <v>0.34999899999999684</v>
      </c>
      <c r="N348" s="4">
        <f>(Table1[[#This Row],[AAPL.Close]] - Table1[[#This Row],[AAPL.Open]]) /Table1[[#This Row],[AAPL.Open]]</f>
        <v>3.0190546019149213E-3</v>
      </c>
      <c r="O348" s="4" t="str">
        <f>IF(Table1[[#This Row],[AAPL.Close]] &gt; Table1[[#This Row],[AAPL.Open]], "Up", "Down")</f>
        <v>Up</v>
      </c>
      <c r="P348" s="2" t="s">
        <v>10</v>
      </c>
    </row>
    <row r="349" spans="1:16" x14ac:dyDescent="0.35">
      <c r="A349" s="3">
        <v>42263</v>
      </c>
      <c r="B349" s="2" t="str">
        <f>TEXT(Table1[[#This Row],[Date]],"mmm")</f>
        <v>Sep</v>
      </c>
      <c r="C349" s="1">
        <f>YEAR(Table1[[#This Row],[Date]])</f>
        <v>2015</v>
      </c>
      <c r="D349" s="5">
        <v>116.25</v>
      </c>
      <c r="E349" s="5">
        <v>116.540001</v>
      </c>
      <c r="F349" s="5">
        <v>115.44000200000001</v>
      </c>
      <c r="G349" s="5">
        <v>116.410004</v>
      </c>
      <c r="H349" s="1">
        <v>37173500</v>
      </c>
      <c r="I349">
        <v>112.901478</v>
      </c>
      <c r="J349">
        <v>104.23721140000001</v>
      </c>
      <c r="K349">
        <v>111.30983310000001</v>
      </c>
      <c r="L349">
        <v>118.3824548</v>
      </c>
      <c r="M349" s="5">
        <f>Table1[[#This Row],[AAPL.Close]] -Table1[[#This Row],[AAPL.Open]]</f>
        <v>0.1600040000000007</v>
      </c>
      <c r="N349" s="4">
        <f>(Table1[[#This Row],[AAPL.Close]] - Table1[[#This Row],[AAPL.Open]]) /Table1[[#This Row],[AAPL.Open]]</f>
        <v>1.3763784946236618E-3</v>
      </c>
      <c r="O349" s="4" t="str">
        <f>IF(Table1[[#This Row],[AAPL.Close]] &gt; Table1[[#This Row],[AAPL.Open]], "Up", "Down")</f>
        <v>Up</v>
      </c>
      <c r="P349" s="2" t="s">
        <v>10</v>
      </c>
    </row>
    <row r="350" spans="1:16" x14ac:dyDescent="0.35">
      <c r="A350" s="3">
        <v>42264</v>
      </c>
      <c r="B350" s="2" t="str">
        <f>TEXT(Table1[[#This Row],[Date]],"mmm")</f>
        <v>Sep</v>
      </c>
      <c r="C350" s="1">
        <f>YEAR(Table1[[#This Row],[Date]])</f>
        <v>2015</v>
      </c>
      <c r="D350" s="5">
        <v>115.660004</v>
      </c>
      <c r="E350" s="5">
        <v>116.489998</v>
      </c>
      <c r="F350" s="5">
        <v>113.720001</v>
      </c>
      <c r="G350" s="5">
        <v>113.91999800000001</v>
      </c>
      <c r="H350" s="1">
        <v>64112600</v>
      </c>
      <c r="I350">
        <v>110.486519</v>
      </c>
      <c r="J350">
        <v>104.2767346</v>
      </c>
      <c r="K350">
        <v>111.2751664</v>
      </c>
      <c r="L350">
        <v>118.2735982</v>
      </c>
      <c r="M350" s="5">
        <f>Table1[[#This Row],[AAPL.Close]] -Table1[[#This Row],[AAPL.Open]]</f>
        <v>-1.7400059999999939</v>
      </c>
      <c r="N350" s="4">
        <f>(Table1[[#This Row],[AAPL.Close]] - Table1[[#This Row],[AAPL.Open]]) /Table1[[#This Row],[AAPL.Open]]</f>
        <v>-1.5044146116405062E-2</v>
      </c>
      <c r="O350" s="4" t="str">
        <f>IF(Table1[[#This Row],[AAPL.Close]] &gt; Table1[[#This Row],[AAPL.Open]], "Up", "Down")</f>
        <v>Down</v>
      </c>
      <c r="P350" s="2" t="s">
        <v>11</v>
      </c>
    </row>
    <row r="351" spans="1:16" x14ac:dyDescent="0.35">
      <c r="A351" s="3">
        <v>42265</v>
      </c>
      <c r="B351" s="2" t="str">
        <f>TEXT(Table1[[#This Row],[Date]],"mmm")</f>
        <v>Sep</v>
      </c>
      <c r="C351" s="1">
        <f>YEAR(Table1[[#This Row],[Date]])</f>
        <v>2015</v>
      </c>
      <c r="D351" s="5">
        <v>112.209999</v>
      </c>
      <c r="E351" s="5">
        <v>114.300003</v>
      </c>
      <c r="F351" s="5">
        <v>111.870003</v>
      </c>
      <c r="G351" s="5">
        <v>113.449997</v>
      </c>
      <c r="H351" s="1">
        <v>74285300</v>
      </c>
      <c r="I351">
        <v>110.03068399999999</v>
      </c>
      <c r="J351">
        <v>104.27667270000001</v>
      </c>
      <c r="K351">
        <v>111.29166650000001</v>
      </c>
      <c r="L351">
        <v>118.3066603</v>
      </c>
      <c r="M351" s="5">
        <f>Table1[[#This Row],[AAPL.Close]] -Table1[[#This Row],[AAPL.Open]]</f>
        <v>1.2399979999999999</v>
      </c>
      <c r="N351" s="4">
        <f>(Table1[[#This Row],[AAPL.Close]] - Table1[[#This Row],[AAPL.Open]]) /Table1[[#This Row],[AAPL.Open]]</f>
        <v>1.1050690767763041E-2</v>
      </c>
      <c r="O351" s="4" t="str">
        <f>IF(Table1[[#This Row],[AAPL.Close]] &gt; Table1[[#This Row],[AAPL.Open]], "Up", "Down")</f>
        <v>Up</v>
      </c>
      <c r="P351" s="2" t="s">
        <v>10</v>
      </c>
    </row>
    <row r="352" spans="1:16" x14ac:dyDescent="0.35">
      <c r="A352" s="3">
        <v>42268</v>
      </c>
      <c r="B352" s="2" t="str">
        <f>TEXT(Table1[[#This Row],[Date]],"mmm")</f>
        <v>Sep</v>
      </c>
      <c r="C352" s="1">
        <f>YEAR(Table1[[#This Row],[Date]])</f>
        <v>2015</v>
      </c>
      <c r="D352" s="5">
        <v>113.66999800000001</v>
      </c>
      <c r="E352" s="5">
        <v>115.370003</v>
      </c>
      <c r="F352" s="5">
        <v>113.660004</v>
      </c>
      <c r="G352" s="5">
        <v>115.209999</v>
      </c>
      <c r="H352" s="1">
        <v>50222000</v>
      </c>
      <c r="I352">
        <v>111.73764</v>
      </c>
      <c r="J352">
        <v>104.666951</v>
      </c>
      <c r="K352">
        <v>111.6404998</v>
      </c>
      <c r="L352">
        <v>118.6140487</v>
      </c>
      <c r="M352" s="5">
        <f>Table1[[#This Row],[AAPL.Close]] -Table1[[#This Row],[AAPL.Open]]</f>
        <v>1.5400009999999895</v>
      </c>
      <c r="N352" s="4">
        <f>(Table1[[#This Row],[AAPL.Close]] - Table1[[#This Row],[AAPL.Open]]) /Table1[[#This Row],[AAPL.Open]]</f>
        <v>1.3547998830790772E-2</v>
      </c>
      <c r="O352" s="4" t="str">
        <f>IF(Table1[[#This Row],[AAPL.Close]] &gt; Table1[[#This Row],[AAPL.Open]], "Up", "Down")</f>
        <v>Up</v>
      </c>
      <c r="P352" s="2" t="s">
        <v>10</v>
      </c>
    </row>
    <row r="353" spans="1:16" x14ac:dyDescent="0.35">
      <c r="A353" s="3">
        <v>42269</v>
      </c>
      <c r="B353" s="2" t="str">
        <f>TEXT(Table1[[#This Row],[Date]],"mmm")</f>
        <v>Sep</v>
      </c>
      <c r="C353" s="1">
        <f>YEAR(Table1[[#This Row],[Date]])</f>
        <v>2015</v>
      </c>
      <c r="D353" s="5">
        <v>113.379997</v>
      </c>
      <c r="E353" s="5">
        <v>114.18</v>
      </c>
      <c r="F353" s="5">
        <v>112.519997</v>
      </c>
      <c r="G353" s="5">
        <v>113.400002</v>
      </c>
      <c r="H353" s="1">
        <v>50346200</v>
      </c>
      <c r="I353">
        <v>109.982195</v>
      </c>
      <c r="J353">
        <v>107.10401880000001</v>
      </c>
      <c r="K353">
        <v>112.2434997</v>
      </c>
      <c r="L353">
        <v>117.3829807</v>
      </c>
      <c r="M353" s="5">
        <f>Table1[[#This Row],[AAPL.Close]] -Table1[[#This Row],[AAPL.Open]]</f>
        <v>2.0004999999997608E-2</v>
      </c>
      <c r="N353" s="4">
        <f>(Table1[[#This Row],[AAPL.Close]] - Table1[[#This Row],[AAPL.Open]]) /Table1[[#This Row],[AAPL.Open]]</f>
        <v>1.7644205794076364E-4</v>
      </c>
      <c r="O353" s="4" t="str">
        <f>IF(Table1[[#This Row],[AAPL.Close]] &gt; Table1[[#This Row],[AAPL.Open]], "Up", "Down")</f>
        <v>Up</v>
      </c>
      <c r="P353" s="2" t="s">
        <v>10</v>
      </c>
    </row>
    <row r="354" spans="1:16" x14ac:dyDescent="0.35">
      <c r="A354" s="3">
        <v>42270</v>
      </c>
      <c r="B354" s="2" t="str">
        <f>TEXT(Table1[[#This Row],[Date]],"mmm")</f>
        <v>Sep</v>
      </c>
      <c r="C354" s="1">
        <f>YEAR(Table1[[#This Row],[Date]])</f>
        <v>2015</v>
      </c>
      <c r="D354" s="5">
        <v>113.629997</v>
      </c>
      <c r="E354" s="5">
        <v>114.720001</v>
      </c>
      <c r="F354" s="5">
        <v>113.300003</v>
      </c>
      <c r="G354" s="5">
        <v>114.32</v>
      </c>
      <c r="H354" s="1">
        <v>35756700</v>
      </c>
      <c r="I354">
        <v>110.874465</v>
      </c>
      <c r="J354">
        <v>108.28828590000001</v>
      </c>
      <c r="K354">
        <v>112.64333310000001</v>
      </c>
      <c r="L354">
        <v>116.9983804</v>
      </c>
      <c r="M354" s="5">
        <f>Table1[[#This Row],[AAPL.Close]] -Table1[[#This Row],[AAPL.Open]]</f>
        <v>0.69000299999999015</v>
      </c>
      <c r="N354" s="4">
        <f>(Table1[[#This Row],[AAPL.Close]] - Table1[[#This Row],[AAPL.Open]]) /Table1[[#This Row],[AAPL.Open]]</f>
        <v>6.0723666128407105E-3</v>
      </c>
      <c r="O354" s="4" t="str">
        <f>IF(Table1[[#This Row],[AAPL.Close]] &gt; Table1[[#This Row],[AAPL.Open]], "Up", "Down")</f>
        <v>Up</v>
      </c>
      <c r="P354" s="2" t="s">
        <v>10</v>
      </c>
    </row>
    <row r="355" spans="1:16" x14ac:dyDescent="0.35">
      <c r="A355" s="3">
        <v>42271</v>
      </c>
      <c r="B355" s="2" t="str">
        <f>TEXT(Table1[[#This Row],[Date]],"mmm")</f>
        <v>Sep</v>
      </c>
      <c r="C355" s="1">
        <f>YEAR(Table1[[#This Row],[Date]])</f>
        <v>2015</v>
      </c>
      <c r="D355" s="5">
        <v>113.25</v>
      </c>
      <c r="E355" s="5">
        <v>115.5</v>
      </c>
      <c r="F355" s="5">
        <v>112.370003</v>
      </c>
      <c r="G355" s="5">
        <v>115</v>
      </c>
      <c r="H355" s="1">
        <v>50219500</v>
      </c>
      <c r="I355">
        <v>111.53397099999999</v>
      </c>
      <c r="J355">
        <v>109.04756519999999</v>
      </c>
      <c r="K355">
        <v>112.94733309999999</v>
      </c>
      <c r="L355">
        <v>116.84710099999999</v>
      </c>
      <c r="M355" s="5">
        <f>Table1[[#This Row],[AAPL.Close]] -Table1[[#This Row],[AAPL.Open]]</f>
        <v>1.75</v>
      </c>
      <c r="N355" s="4">
        <f>(Table1[[#This Row],[AAPL.Close]] - Table1[[#This Row],[AAPL.Open]]) /Table1[[#This Row],[AAPL.Open]]</f>
        <v>1.5452538631346579E-2</v>
      </c>
      <c r="O355" s="4" t="str">
        <f>IF(Table1[[#This Row],[AAPL.Close]] &gt; Table1[[#This Row],[AAPL.Open]], "Up", "Down")</f>
        <v>Up</v>
      </c>
      <c r="P355" s="2" t="s">
        <v>10</v>
      </c>
    </row>
    <row r="356" spans="1:16" x14ac:dyDescent="0.35">
      <c r="A356" s="3">
        <v>42272</v>
      </c>
      <c r="B356" s="2" t="str">
        <f>TEXT(Table1[[#This Row],[Date]],"mmm")</f>
        <v>Sep</v>
      </c>
      <c r="C356" s="1">
        <f>YEAR(Table1[[#This Row],[Date]])</f>
        <v>2015</v>
      </c>
      <c r="D356" s="5">
        <v>116.44000200000001</v>
      </c>
      <c r="E356" s="5">
        <v>116.69000200000001</v>
      </c>
      <c r="F356" s="5">
        <v>114.019997</v>
      </c>
      <c r="G356" s="5">
        <v>114.709999</v>
      </c>
      <c r="H356" s="1">
        <v>56151900</v>
      </c>
      <c r="I356">
        <v>111.25270999999999</v>
      </c>
      <c r="J356">
        <v>109.11167039999999</v>
      </c>
      <c r="K356">
        <v>113.1013332</v>
      </c>
      <c r="L356">
        <v>117.090996</v>
      </c>
      <c r="M356" s="5">
        <f>Table1[[#This Row],[AAPL.Close]] -Table1[[#This Row],[AAPL.Open]]</f>
        <v>-1.7300030000000106</v>
      </c>
      <c r="N356" s="4">
        <f>(Table1[[#This Row],[AAPL.Close]] - Table1[[#This Row],[AAPL.Open]]) /Table1[[#This Row],[AAPL.Open]]</f>
        <v>-1.4857462815914504E-2</v>
      </c>
      <c r="O356" s="4" t="str">
        <f>IF(Table1[[#This Row],[AAPL.Close]] &gt; Table1[[#This Row],[AAPL.Open]], "Up", "Down")</f>
        <v>Down</v>
      </c>
      <c r="P356" s="2" t="s">
        <v>11</v>
      </c>
    </row>
    <row r="357" spans="1:16" x14ac:dyDescent="0.35">
      <c r="A357" s="3">
        <v>42275</v>
      </c>
      <c r="B357" s="2" t="str">
        <f>TEXT(Table1[[#This Row],[Date]],"mmm")</f>
        <v>Sep</v>
      </c>
      <c r="C357" s="1">
        <f>YEAR(Table1[[#This Row],[Date]])</f>
        <v>2015</v>
      </c>
      <c r="D357" s="5">
        <v>113.849998</v>
      </c>
      <c r="E357" s="5">
        <v>114.57</v>
      </c>
      <c r="F357" s="5">
        <v>112.44000200000001</v>
      </c>
      <c r="G357" s="5">
        <v>112.44000200000001</v>
      </c>
      <c r="H357" s="1">
        <v>52109000</v>
      </c>
      <c r="I357">
        <v>109.05113</v>
      </c>
      <c r="J357">
        <v>109.1374587</v>
      </c>
      <c r="K357">
        <v>113.1231666</v>
      </c>
      <c r="L357">
        <v>117.1088745</v>
      </c>
      <c r="M357" s="5">
        <f>Table1[[#This Row],[AAPL.Close]] -Table1[[#This Row],[AAPL.Open]]</f>
        <v>-1.4099959999999925</v>
      </c>
      <c r="N357" s="4">
        <f>(Table1[[#This Row],[AAPL.Close]] - Table1[[#This Row],[AAPL.Open]]) /Table1[[#This Row],[AAPL.Open]]</f>
        <v>-1.238468181615596E-2</v>
      </c>
      <c r="O357" s="4" t="str">
        <f>IF(Table1[[#This Row],[AAPL.Close]] &gt; Table1[[#This Row],[AAPL.Open]], "Up", "Down")</f>
        <v>Down</v>
      </c>
      <c r="P357" s="2" t="s">
        <v>11</v>
      </c>
    </row>
    <row r="358" spans="1:16" x14ac:dyDescent="0.35">
      <c r="A358" s="3">
        <v>42276</v>
      </c>
      <c r="B358" s="2" t="str">
        <f>TEXT(Table1[[#This Row],[Date]],"mmm")</f>
        <v>Sep</v>
      </c>
      <c r="C358" s="1">
        <f>YEAR(Table1[[#This Row],[Date]])</f>
        <v>2015</v>
      </c>
      <c r="D358" s="5">
        <v>112.83000199999999</v>
      </c>
      <c r="E358" s="5">
        <v>113.510002</v>
      </c>
      <c r="F358" s="5">
        <v>107.860001</v>
      </c>
      <c r="G358" s="5">
        <v>109.05999799999999</v>
      </c>
      <c r="H358" s="1">
        <v>73365400</v>
      </c>
      <c r="I358">
        <v>105.77299600000001</v>
      </c>
      <c r="J358">
        <v>108.7833184</v>
      </c>
      <c r="K358">
        <v>112.9754999</v>
      </c>
      <c r="L358">
        <v>117.1676815</v>
      </c>
      <c r="M358" s="5">
        <f>Table1[[#This Row],[AAPL.Close]] -Table1[[#This Row],[AAPL.Open]]</f>
        <v>-3.7700040000000001</v>
      </c>
      <c r="N358" s="4">
        <f>(Table1[[#This Row],[AAPL.Close]] - Table1[[#This Row],[AAPL.Open]]) /Table1[[#This Row],[AAPL.Open]]</f>
        <v>-3.3413134212299314E-2</v>
      </c>
      <c r="O358" s="4" t="str">
        <f>IF(Table1[[#This Row],[AAPL.Close]] &gt; Table1[[#This Row],[AAPL.Open]], "Up", "Down")</f>
        <v>Down</v>
      </c>
      <c r="P358" s="2" t="s">
        <v>11</v>
      </c>
    </row>
    <row r="359" spans="1:16" x14ac:dyDescent="0.35">
      <c r="A359" s="3">
        <v>42277</v>
      </c>
      <c r="B359" s="2" t="str">
        <f>TEXT(Table1[[#This Row],[Date]],"mmm")</f>
        <v>Sep</v>
      </c>
      <c r="C359" s="1">
        <f>YEAR(Table1[[#This Row],[Date]])</f>
        <v>2015</v>
      </c>
      <c r="D359" s="5">
        <v>110.16999800000001</v>
      </c>
      <c r="E359" s="5">
        <v>111.540001</v>
      </c>
      <c r="F359" s="5">
        <v>108.730003</v>
      </c>
      <c r="G359" s="5">
        <v>110.300003</v>
      </c>
      <c r="H359" s="1">
        <v>66473000</v>
      </c>
      <c r="I359">
        <v>106.975629</v>
      </c>
      <c r="J359">
        <v>109.04448309999999</v>
      </c>
      <c r="K359">
        <v>113.03566669999999</v>
      </c>
      <c r="L359">
        <v>117.0268504</v>
      </c>
      <c r="M359" s="5">
        <f>Table1[[#This Row],[AAPL.Close]] -Table1[[#This Row],[AAPL.Open]]</f>
        <v>0.13000499999999704</v>
      </c>
      <c r="N359" s="4">
        <f>(Table1[[#This Row],[AAPL.Close]] - Table1[[#This Row],[AAPL.Open]]) /Table1[[#This Row],[AAPL.Open]]</f>
        <v>1.1800399596993459E-3</v>
      </c>
      <c r="O359" s="4" t="str">
        <f>IF(Table1[[#This Row],[AAPL.Close]] &gt; Table1[[#This Row],[AAPL.Open]], "Up", "Down")</f>
        <v>Up</v>
      </c>
      <c r="P359" s="2" t="s">
        <v>10</v>
      </c>
    </row>
    <row r="360" spans="1:16" x14ac:dyDescent="0.35">
      <c r="A360" s="3">
        <v>42614</v>
      </c>
      <c r="B360" s="2" t="str">
        <f>TEXT(Table1[[#This Row],[Date]],"mmm")</f>
        <v>Sep</v>
      </c>
      <c r="C360" s="1">
        <f>YEAR(Table1[[#This Row],[Date]])</f>
        <v>2016</v>
      </c>
      <c r="D360" s="5">
        <v>106.139999</v>
      </c>
      <c r="E360" s="5">
        <v>106.800003</v>
      </c>
      <c r="F360" s="5">
        <v>105.620003</v>
      </c>
      <c r="G360" s="5">
        <v>106.730003</v>
      </c>
      <c r="H360" s="1">
        <v>26701500</v>
      </c>
      <c r="I360">
        <v>105.72644099999999</v>
      </c>
      <c r="J360">
        <v>105.85440869999999</v>
      </c>
      <c r="K360">
        <v>107.97766710000001</v>
      </c>
      <c r="L360">
        <v>110.10092539999999</v>
      </c>
      <c r="M360" s="5">
        <f>Table1[[#This Row],[AAPL.Close]] -Table1[[#This Row],[AAPL.Open]]</f>
        <v>0.59000399999999331</v>
      </c>
      <c r="N360" s="4">
        <f>(Table1[[#This Row],[AAPL.Close]] - Table1[[#This Row],[AAPL.Open]]) /Table1[[#This Row],[AAPL.Open]]</f>
        <v>5.5587338002518099E-3</v>
      </c>
      <c r="O360" s="4" t="str">
        <f>IF(Table1[[#This Row],[AAPL.Close]] &gt; Table1[[#This Row],[AAPL.Open]], "Up", "Down")</f>
        <v>Up</v>
      </c>
      <c r="P360" s="2" t="s">
        <v>10</v>
      </c>
    </row>
    <row r="361" spans="1:16" x14ac:dyDescent="0.35">
      <c r="A361" s="3">
        <v>42615</v>
      </c>
      <c r="B361" s="2" t="str">
        <f>TEXT(Table1[[#This Row],[Date]],"mmm")</f>
        <v>Sep</v>
      </c>
      <c r="C361" s="1">
        <f>YEAR(Table1[[#This Row],[Date]])</f>
        <v>2016</v>
      </c>
      <c r="D361" s="5">
        <v>107.699997</v>
      </c>
      <c r="E361" s="5">
        <v>108</v>
      </c>
      <c r="F361" s="5">
        <v>106.82</v>
      </c>
      <c r="G361" s="5">
        <v>107.730003</v>
      </c>
      <c r="H361" s="1">
        <v>26802500</v>
      </c>
      <c r="I361">
        <v>106.717038</v>
      </c>
      <c r="J361">
        <v>105.9016386</v>
      </c>
      <c r="K361">
        <v>107.9983337</v>
      </c>
      <c r="L361">
        <v>110.09502879999999</v>
      </c>
      <c r="M361" s="5">
        <f>Table1[[#This Row],[AAPL.Close]] -Table1[[#This Row],[AAPL.Open]]</f>
        <v>3.0006000000000199E-2</v>
      </c>
      <c r="N361" s="4">
        <f>(Table1[[#This Row],[AAPL.Close]] - Table1[[#This Row],[AAPL.Open]]) /Table1[[#This Row],[AAPL.Open]]</f>
        <v>2.7860725010048237E-4</v>
      </c>
      <c r="O361" s="4" t="str">
        <f>IF(Table1[[#This Row],[AAPL.Close]] &gt; Table1[[#This Row],[AAPL.Open]], "Up", "Down")</f>
        <v>Up</v>
      </c>
      <c r="P361" s="2" t="s">
        <v>10</v>
      </c>
    </row>
    <row r="362" spans="1:16" x14ac:dyDescent="0.35">
      <c r="A362" s="3">
        <v>42619</v>
      </c>
      <c r="B362" s="2" t="str">
        <f>TEXT(Table1[[#This Row],[Date]],"mmm")</f>
        <v>Sep</v>
      </c>
      <c r="C362" s="1">
        <f>YEAR(Table1[[#This Row],[Date]])</f>
        <v>2016</v>
      </c>
      <c r="D362" s="5">
        <v>107.900002</v>
      </c>
      <c r="E362" s="5">
        <v>108.300003</v>
      </c>
      <c r="F362" s="5">
        <v>107.510002</v>
      </c>
      <c r="G362" s="5">
        <v>107.699997</v>
      </c>
      <c r="H362" s="1">
        <v>26880400</v>
      </c>
      <c r="I362">
        <v>106.687314</v>
      </c>
      <c r="J362">
        <v>105.8939804</v>
      </c>
      <c r="K362">
        <v>107.99183360000001</v>
      </c>
      <c r="L362">
        <v>110.0896867</v>
      </c>
      <c r="M362" s="5">
        <f>Table1[[#This Row],[AAPL.Close]] -Table1[[#This Row],[AAPL.Open]]</f>
        <v>-0.20000500000000443</v>
      </c>
      <c r="N362" s="4">
        <f>(Table1[[#This Row],[AAPL.Close]] - Table1[[#This Row],[AAPL.Open]]) /Table1[[#This Row],[AAPL.Open]]</f>
        <v>-1.8536144234733603E-3</v>
      </c>
      <c r="O362" s="4" t="str">
        <f>IF(Table1[[#This Row],[AAPL.Close]] &gt; Table1[[#This Row],[AAPL.Open]], "Up", "Down")</f>
        <v>Down</v>
      </c>
      <c r="P362" s="2" t="s">
        <v>11</v>
      </c>
    </row>
    <row r="363" spans="1:16" x14ac:dyDescent="0.35">
      <c r="A363" s="3">
        <v>42620</v>
      </c>
      <c r="B363" s="2" t="str">
        <f>TEXT(Table1[[#This Row],[Date]],"mmm")</f>
        <v>Sep</v>
      </c>
      <c r="C363" s="1">
        <f>YEAR(Table1[[#This Row],[Date]])</f>
        <v>2016</v>
      </c>
      <c r="D363" s="5">
        <v>107.83000199999999</v>
      </c>
      <c r="E363" s="5">
        <v>108.760002</v>
      </c>
      <c r="F363" s="5">
        <v>107.07</v>
      </c>
      <c r="G363" s="5">
        <v>108.360001</v>
      </c>
      <c r="H363" s="1">
        <v>42364300</v>
      </c>
      <c r="I363">
        <v>107.341112</v>
      </c>
      <c r="J363">
        <v>105.8851607</v>
      </c>
      <c r="K363">
        <v>107.9656669</v>
      </c>
      <c r="L363">
        <v>110.0461731</v>
      </c>
      <c r="M363" s="5">
        <f>Table1[[#This Row],[AAPL.Close]] -Table1[[#This Row],[AAPL.Open]]</f>
        <v>0.52999900000000366</v>
      </c>
      <c r="N363" s="4">
        <f>(Table1[[#This Row],[AAPL.Close]] - Table1[[#This Row],[AAPL.Open]]) /Table1[[#This Row],[AAPL.Open]]</f>
        <v>4.9151348434548275E-3</v>
      </c>
      <c r="O363" s="4" t="str">
        <f>IF(Table1[[#This Row],[AAPL.Close]] &gt; Table1[[#This Row],[AAPL.Open]], "Up", "Down")</f>
        <v>Up</v>
      </c>
      <c r="P363" s="2" t="s">
        <v>10</v>
      </c>
    </row>
    <row r="364" spans="1:16" x14ac:dyDescent="0.35">
      <c r="A364" s="3">
        <v>42621</v>
      </c>
      <c r="B364" s="2" t="str">
        <f>TEXT(Table1[[#This Row],[Date]],"mmm")</f>
        <v>Sep</v>
      </c>
      <c r="C364" s="1">
        <f>YEAR(Table1[[#This Row],[Date]])</f>
        <v>2016</v>
      </c>
      <c r="D364" s="5">
        <v>107.25</v>
      </c>
      <c r="E364" s="5">
        <v>107.269997</v>
      </c>
      <c r="F364" s="5">
        <v>105.239998</v>
      </c>
      <c r="G364" s="5">
        <v>105.519997</v>
      </c>
      <c r="H364" s="1">
        <v>53002000</v>
      </c>
      <c r="I364">
        <v>104.527812</v>
      </c>
      <c r="J364">
        <v>105.6120313</v>
      </c>
      <c r="K364">
        <v>107.8551667</v>
      </c>
      <c r="L364">
        <v>110.0983021</v>
      </c>
      <c r="M364" s="5">
        <f>Table1[[#This Row],[AAPL.Close]] -Table1[[#This Row],[AAPL.Open]]</f>
        <v>-1.7300029999999964</v>
      </c>
      <c r="N364" s="4">
        <f>(Table1[[#This Row],[AAPL.Close]] - Table1[[#This Row],[AAPL.Open]]) /Table1[[#This Row],[AAPL.Open]]</f>
        <v>-1.6130564102564068E-2</v>
      </c>
      <c r="O364" s="4" t="str">
        <f>IF(Table1[[#This Row],[AAPL.Close]] &gt; Table1[[#This Row],[AAPL.Open]], "Up", "Down")</f>
        <v>Down</v>
      </c>
      <c r="P364" s="2" t="s">
        <v>11</v>
      </c>
    </row>
    <row r="365" spans="1:16" x14ac:dyDescent="0.35">
      <c r="A365" s="3">
        <v>42622</v>
      </c>
      <c r="B365" s="2" t="str">
        <f>TEXT(Table1[[#This Row],[Date]],"mmm")</f>
        <v>Sep</v>
      </c>
      <c r="C365" s="1">
        <f>YEAR(Table1[[#This Row],[Date]])</f>
        <v>2016</v>
      </c>
      <c r="D365" s="5">
        <v>104.639999</v>
      </c>
      <c r="E365" s="5">
        <v>105.720001</v>
      </c>
      <c r="F365" s="5">
        <v>103.129997</v>
      </c>
      <c r="G365" s="5">
        <v>103.129997</v>
      </c>
      <c r="H365" s="1">
        <v>46557000</v>
      </c>
      <c r="I365">
        <v>102.160285</v>
      </c>
      <c r="J365">
        <v>104.8492134</v>
      </c>
      <c r="K365">
        <v>107.643</v>
      </c>
      <c r="L365">
        <v>110.4367865</v>
      </c>
      <c r="M365" s="5">
        <f>Table1[[#This Row],[AAPL.Close]] -Table1[[#This Row],[AAPL.Open]]</f>
        <v>-1.5100020000000001</v>
      </c>
      <c r="N365" s="4">
        <f>(Table1[[#This Row],[AAPL.Close]] - Table1[[#This Row],[AAPL.Open]]) /Table1[[#This Row],[AAPL.Open]]</f>
        <v>-1.4430447385612074E-2</v>
      </c>
      <c r="O365" s="4" t="str">
        <f>IF(Table1[[#This Row],[AAPL.Close]] &gt; Table1[[#This Row],[AAPL.Open]], "Up", "Down")</f>
        <v>Down</v>
      </c>
      <c r="P365" s="2" t="s">
        <v>11</v>
      </c>
    </row>
    <row r="366" spans="1:16" x14ac:dyDescent="0.35">
      <c r="A366" s="3">
        <v>42625</v>
      </c>
      <c r="B366" s="2" t="str">
        <f>TEXT(Table1[[#This Row],[Date]],"mmm")</f>
        <v>Sep</v>
      </c>
      <c r="C366" s="1">
        <f>YEAR(Table1[[#This Row],[Date]])</f>
        <v>2016</v>
      </c>
      <c r="D366" s="5">
        <v>102.650002</v>
      </c>
      <c r="E366" s="5">
        <v>105.720001</v>
      </c>
      <c r="F366" s="5">
        <v>102.529999</v>
      </c>
      <c r="G366" s="5">
        <v>105.44000200000001</v>
      </c>
      <c r="H366" s="1">
        <v>45292800</v>
      </c>
      <c r="I366">
        <v>104.44857</v>
      </c>
      <c r="J366">
        <v>104.3779846</v>
      </c>
      <c r="K366">
        <v>107.4645</v>
      </c>
      <c r="L366">
        <v>110.5510154</v>
      </c>
      <c r="M366" s="5">
        <f>Table1[[#This Row],[AAPL.Close]] -Table1[[#This Row],[AAPL.Open]]</f>
        <v>2.7900000000000063</v>
      </c>
      <c r="N366" s="4">
        <f>(Table1[[#This Row],[AAPL.Close]] - Table1[[#This Row],[AAPL.Open]]) /Table1[[#This Row],[AAPL.Open]]</f>
        <v>2.7179736440726091E-2</v>
      </c>
      <c r="O366" s="4" t="str">
        <f>IF(Table1[[#This Row],[AAPL.Close]] &gt; Table1[[#This Row],[AAPL.Open]], "Up", "Down")</f>
        <v>Up</v>
      </c>
      <c r="P366" s="2" t="s">
        <v>10</v>
      </c>
    </row>
    <row r="367" spans="1:16" x14ac:dyDescent="0.35">
      <c r="A367" s="3">
        <v>42626</v>
      </c>
      <c r="B367" s="2" t="str">
        <f>TEXT(Table1[[#This Row],[Date]],"mmm")</f>
        <v>Sep</v>
      </c>
      <c r="C367" s="1">
        <f>YEAR(Table1[[#This Row],[Date]])</f>
        <v>2016</v>
      </c>
      <c r="D367" s="5">
        <v>107.510002</v>
      </c>
      <c r="E367" s="5">
        <v>108.790001</v>
      </c>
      <c r="F367" s="5">
        <v>107.239998</v>
      </c>
      <c r="G367" s="5">
        <v>107.949997</v>
      </c>
      <c r="H367" s="1">
        <v>62176200</v>
      </c>
      <c r="I367">
        <v>106.934963</v>
      </c>
      <c r="J367">
        <v>104.39928810000001</v>
      </c>
      <c r="K367">
        <v>107.41249980000001</v>
      </c>
      <c r="L367">
        <v>110.4257116</v>
      </c>
      <c r="M367" s="5">
        <f>Table1[[#This Row],[AAPL.Close]] -Table1[[#This Row],[AAPL.Open]]</f>
        <v>0.43999499999999614</v>
      </c>
      <c r="N367" s="4">
        <f>(Table1[[#This Row],[AAPL.Close]] - Table1[[#This Row],[AAPL.Open]]) /Table1[[#This Row],[AAPL.Open]]</f>
        <v>4.0925959614436262E-3</v>
      </c>
      <c r="O367" s="4" t="str">
        <f>IF(Table1[[#This Row],[AAPL.Close]] &gt; Table1[[#This Row],[AAPL.Open]], "Up", "Down")</f>
        <v>Up</v>
      </c>
      <c r="P367" s="2" t="s">
        <v>10</v>
      </c>
    </row>
    <row r="368" spans="1:16" x14ac:dyDescent="0.35">
      <c r="A368" s="3">
        <v>42627</v>
      </c>
      <c r="B368" s="2" t="str">
        <f>TEXT(Table1[[#This Row],[Date]],"mmm")</f>
        <v>Sep</v>
      </c>
      <c r="C368" s="1">
        <f>YEAR(Table1[[#This Row],[Date]])</f>
        <v>2016</v>
      </c>
      <c r="D368" s="5">
        <v>108.730003</v>
      </c>
      <c r="E368" s="5">
        <v>113.029999</v>
      </c>
      <c r="F368" s="5">
        <v>108.599998</v>
      </c>
      <c r="G368" s="5">
        <v>111.769997</v>
      </c>
      <c r="H368" s="1">
        <v>110888700</v>
      </c>
      <c r="I368">
        <v>110.719044</v>
      </c>
      <c r="J368">
        <v>104.19305060000001</v>
      </c>
      <c r="K368">
        <v>107.48883309999999</v>
      </c>
      <c r="L368">
        <v>110.7846156</v>
      </c>
      <c r="M368" s="5">
        <f>Table1[[#This Row],[AAPL.Close]] -Table1[[#This Row],[AAPL.Open]]</f>
        <v>3.0399940000000072</v>
      </c>
      <c r="N368" s="4">
        <f>(Table1[[#This Row],[AAPL.Close]] - Table1[[#This Row],[AAPL.Open]]) /Table1[[#This Row],[AAPL.Open]]</f>
        <v>2.7959108949900491E-2</v>
      </c>
      <c r="O368" s="4" t="str">
        <f>IF(Table1[[#This Row],[AAPL.Close]] &gt; Table1[[#This Row],[AAPL.Open]], "Up", "Down")</f>
        <v>Up</v>
      </c>
      <c r="P368" s="2" t="s">
        <v>10</v>
      </c>
    </row>
    <row r="369" spans="1:16" x14ac:dyDescent="0.35">
      <c r="A369" s="3">
        <v>42628</v>
      </c>
      <c r="B369" s="2" t="str">
        <f>TEXT(Table1[[#This Row],[Date]],"mmm")</f>
        <v>Sep</v>
      </c>
      <c r="C369" s="1">
        <f>YEAR(Table1[[#This Row],[Date]])</f>
        <v>2016</v>
      </c>
      <c r="D369" s="5">
        <v>113.860001</v>
      </c>
      <c r="E369" s="5">
        <v>115.730003</v>
      </c>
      <c r="F369" s="5">
        <v>113.489998</v>
      </c>
      <c r="G369" s="5">
        <v>115.57</v>
      </c>
      <c r="H369" s="1">
        <v>89983600</v>
      </c>
      <c r="I369">
        <v>114.483317</v>
      </c>
      <c r="J369">
        <v>103.18875850000001</v>
      </c>
      <c r="K369">
        <v>107.7864998</v>
      </c>
      <c r="L369">
        <v>112.384241</v>
      </c>
      <c r="M369" s="5">
        <f>Table1[[#This Row],[AAPL.Close]] -Table1[[#This Row],[AAPL.Open]]</f>
        <v>1.7099989999999963</v>
      </c>
      <c r="N369" s="4">
        <f>(Table1[[#This Row],[AAPL.Close]] - Table1[[#This Row],[AAPL.Open]]) /Table1[[#This Row],[AAPL.Open]]</f>
        <v>1.5018434788174613E-2</v>
      </c>
      <c r="O369" s="4" t="str">
        <f>IF(Table1[[#This Row],[AAPL.Close]] &gt; Table1[[#This Row],[AAPL.Open]], "Up", "Down")</f>
        <v>Up</v>
      </c>
      <c r="P369" s="2" t="s">
        <v>10</v>
      </c>
    </row>
    <row r="370" spans="1:16" x14ac:dyDescent="0.35">
      <c r="A370" s="3">
        <v>42629</v>
      </c>
      <c r="B370" s="2" t="str">
        <f>TEXT(Table1[[#This Row],[Date]],"mmm")</f>
        <v>Sep</v>
      </c>
      <c r="C370" s="1">
        <f>YEAR(Table1[[#This Row],[Date]])</f>
        <v>2016</v>
      </c>
      <c r="D370" s="5">
        <v>115.120003</v>
      </c>
      <c r="E370" s="5">
        <v>116.129997</v>
      </c>
      <c r="F370" s="5">
        <v>114.040001</v>
      </c>
      <c r="G370" s="5">
        <v>114.91999800000001</v>
      </c>
      <c r="H370" s="1">
        <v>79886900</v>
      </c>
      <c r="I370">
        <v>113.839427</v>
      </c>
      <c r="J370">
        <v>102.5195173</v>
      </c>
      <c r="K370">
        <v>108.0763331</v>
      </c>
      <c r="L370">
        <v>113.63314889999999</v>
      </c>
      <c r="M370" s="5">
        <f>Table1[[#This Row],[AAPL.Close]] -Table1[[#This Row],[AAPL.Open]]</f>
        <v>-0.20000499999999022</v>
      </c>
      <c r="N370" s="4">
        <f>(Table1[[#This Row],[AAPL.Close]] - Table1[[#This Row],[AAPL.Open]]) /Table1[[#This Row],[AAPL.Open]]</f>
        <v>-1.7373609693181664E-3</v>
      </c>
      <c r="O370" s="4" t="str">
        <f>IF(Table1[[#This Row],[AAPL.Close]] &gt; Table1[[#This Row],[AAPL.Open]], "Up", "Down")</f>
        <v>Down</v>
      </c>
      <c r="P370" s="2" t="s">
        <v>11</v>
      </c>
    </row>
    <row r="371" spans="1:16" x14ac:dyDescent="0.35">
      <c r="A371" s="3">
        <v>42632</v>
      </c>
      <c r="B371" s="2" t="str">
        <f>TEXT(Table1[[#This Row],[Date]],"mmm")</f>
        <v>Sep</v>
      </c>
      <c r="C371" s="1">
        <f>YEAR(Table1[[#This Row],[Date]])</f>
        <v>2016</v>
      </c>
      <c r="D371" s="5">
        <v>115.19000200000001</v>
      </c>
      <c r="E371" s="5">
        <v>116.18</v>
      </c>
      <c r="F371" s="5">
        <v>113.25</v>
      </c>
      <c r="G371" s="5">
        <v>113.58000199999999</v>
      </c>
      <c r="H371" s="1">
        <v>47023000</v>
      </c>
      <c r="I371">
        <v>112.51203</v>
      </c>
      <c r="J371">
        <v>102.1539956</v>
      </c>
      <c r="K371">
        <v>108.3363331</v>
      </c>
      <c r="L371">
        <v>114.5186705</v>
      </c>
      <c r="M371" s="5">
        <f>Table1[[#This Row],[AAPL.Close]] -Table1[[#This Row],[AAPL.Open]]</f>
        <v>-1.6100000000000136</v>
      </c>
      <c r="N371" s="4">
        <f>(Table1[[#This Row],[AAPL.Close]] - Table1[[#This Row],[AAPL.Open]]) /Table1[[#This Row],[AAPL.Open]]</f>
        <v>-1.3976907475008234E-2</v>
      </c>
      <c r="O371" s="4" t="str">
        <f>IF(Table1[[#This Row],[AAPL.Close]] &gt; Table1[[#This Row],[AAPL.Open]], "Up", "Down")</f>
        <v>Down</v>
      </c>
      <c r="P371" s="2" t="s">
        <v>11</v>
      </c>
    </row>
    <row r="372" spans="1:16" x14ac:dyDescent="0.35">
      <c r="A372" s="3">
        <v>42633</v>
      </c>
      <c r="B372" s="2" t="str">
        <f>TEXT(Table1[[#This Row],[Date]],"mmm")</f>
        <v>Sep</v>
      </c>
      <c r="C372" s="1">
        <f>YEAR(Table1[[#This Row],[Date]])</f>
        <v>2016</v>
      </c>
      <c r="D372" s="5">
        <v>113.050003</v>
      </c>
      <c r="E372" s="5">
        <v>114.120003</v>
      </c>
      <c r="F372" s="5">
        <v>112.510002</v>
      </c>
      <c r="G372" s="5">
        <v>113.57</v>
      </c>
      <c r="H372" s="1">
        <v>34514300</v>
      </c>
      <c r="I372">
        <v>112.502122</v>
      </c>
      <c r="J372">
        <v>102.016673</v>
      </c>
      <c r="K372">
        <v>108.58199980000001</v>
      </c>
      <c r="L372">
        <v>115.1473266</v>
      </c>
      <c r="M372" s="5">
        <f>Table1[[#This Row],[AAPL.Close]] -Table1[[#This Row],[AAPL.Open]]</f>
        <v>0.51999699999998938</v>
      </c>
      <c r="N372" s="4">
        <f>(Table1[[#This Row],[AAPL.Close]] - Table1[[#This Row],[AAPL.Open]]) /Table1[[#This Row],[AAPL.Open]]</f>
        <v>4.5997079717015965E-3</v>
      </c>
      <c r="O372" s="4" t="str">
        <f>IF(Table1[[#This Row],[AAPL.Close]] &gt; Table1[[#This Row],[AAPL.Open]], "Up", "Down")</f>
        <v>Up</v>
      </c>
      <c r="P372" s="2" t="s">
        <v>10</v>
      </c>
    </row>
    <row r="373" spans="1:16" x14ac:dyDescent="0.35">
      <c r="A373" s="3">
        <v>42634</v>
      </c>
      <c r="B373" s="2" t="str">
        <f>TEXT(Table1[[#This Row],[Date]],"mmm")</f>
        <v>Sep</v>
      </c>
      <c r="C373" s="1">
        <f>YEAR(Table1[[#This Row],[Date]])</f>
        <v>2016</v>
      </c>
      <c r="D373" s="5">
        <v>113.849998</v>
      </c>
      <c r="E373" s="5">
        <v>113.989998</v>
      </c>
      <c r="F373" s="5">
        <v>112.44000200000001</v>
      </c>
      <c r="G373" s="5">
        <v>113.550003</v>
      </c>
      <c r="H373" s="1">
        <v>36003200</v>
      </c>
      <c r="I373">
        <v>112.482314</v>
      </c>
      <c r="J373">
        <v>101.9193147</v>
      </c>
      <c r="K373">
        <v>108.80333330000001</v>
      </c>
      <c r="L373">
        <v>115.6873518</v>
      </c>
      <c r="M373" s="5">
        <f>Table1[[#This Row],[AAPL.Close]] -Table1[[#This Row],[AAPL.Open]]</f>
        <v>-0.29999499999999557</v>
      </c>
      <c r="N373" s="4">
        <f>(Table1[[#This Row],[AAPL.Close]] - Table1[[#This Row],[AAPL.Open]]) /Table1[[#This Row],[AAPL.Open]]</f>
        <v>-2.6350022421607385E-3</v>
      </c>
      <c r="O373" s="4" t="str">
        <f>IF(Table1[[#This Row],[AAPL.Close]] &gt; Table1[[#This Row],[AAPL.Open]], "Up", "Down")</f>
        <v>Down</v>
      </c>
      <c r="P373" s="2" t="s">
        <v>11</v>
      </c>
    </row>
    <row r="374" spans="1:16" x14ac:dyDescent="0.35">
      <c r="A374" s="3">
        <v>42635</v>
      </c>
      <c r="B374" s="2" t="str">
        <f>TEXT(Table1[[#This Row],[Date]],"mmm")</f>
        <v>Sep</v>
      </c>
      <c r="C374" s="1">
        <f>YEAR(Table1[[#This Row],[Date]])</f>
        <v>2016</v>
      </c>
      <c r="D374" s="5">
        <v>114.349998</v>
      </c>
      <c r="E374" s="5">
        <v>114.94000200000001</v>
      </c>
      <c r="F374" s="5">
        <v>114</v>
      </c>
      <c r="G374" s="5">
        <v>114.620003</v>
      </c>
      <c r="H374" s="1">
        <v>31074000</v>
      </c>
      <c r="I374">
        <v>113.542252</v>
      </c>
      <c r="J374">
        <v>101.81167859999999</v>
      </c>
      <c r="K374">
        <v>109.12166670000001</v>
      </c>
      <c r="L374">
        <v>116.4316548</v>
      </c>
      <c r="M374" s="5">
        <f>Table1[[#This Row],[AAPL.Close]] -Table1[[#This Row],[AAPL.Open]]</f>
        <v>0.27000499999999761</v>
      </c>
      <c r="N374" s="4">
        <f>(Table1[[#This Row],[AAPL.Close]] - Table1[[#This Row],[AAPL.Open]]) /Table1[[#This Row],[AAPL.Open]]</f>
        <v>2.36121560754201E-3</v>
      </c>
      <c r="O374" s="4" t="str">
        <f>IF(Table1[[#This Row],[AAPL.Close]] &gt; Table1[[#This Row],[AAPL.Open]], "Up", "Down")</f>
        <v>Up</v>
      </c>
      <c r="P374" s="2" t="s">
        <v>10</v>
      </c>
    </row>
    <row r="375" spans="1:16" x14ac:dyDescent="0.35">
      <c r="A375" s="3">
        <v>42636</v>
      </c>
      <c r="B375" s="2" t="str">
        <f>TEXT(Table1[[#This Row],[Date]],"mmm")</f>
        <v>Sep</v>
      </c>
      <c r="C375" s="1">
        <f>YEAR(Table1[[#This Row],[Date]])</f>
        <v>2016</v>
      </c>
      <c r="D375" s="5">
        <v>114.41999800000001</v>
      </c>
      <c r="E375" s="5">
        <v>114.790001</v>
      </c>
      <c r="F375" s="5">
        <v>111.550003</v>
      </c>
      <c r="G375" s="5">
        <v>112.709999</v>
      </c>
      <c r="H375" s="1">
        <v>52481200</v>
      </c>
      <c r="I375">
        <v>111.65020800000001</v>
      </c>
      <c r="J375">
        <v>101.95094709999999</v>
      </c>
      <c r="K375">
        <v>109.4036668</v>
      </c>
      <c r="L375">
        <v>116.8563865</v>
      </c>
      <c r="M375" s="5">
        <f>Table1[[#This Row],[AAPL.Close]] -Table1[[#This Row],[AAPL.Open]]</f>
        <v>-1.7099990000000105</v>
      </c>
      <c r="N375" s="4">
        <f>(Table1[[#This Row],[AAPL.Close]] - Table1[[#This Row],[AAPL.Open]]) /Table1[[#This Row],[AAPL.Open]]</f>
        <v>-1.4944931217355994E-2</v>
      </c>
      <c r="O375" s="4" t="str">
        <f>IF(Table1[[#This Row],[AAPL.Close]] &gt; Table1[[#This Row],[AAPL.Open]], "Up", "Down")</f>
        <v>Down</v>
      </c>
      <c r="P375" s="2" t="s">
        <v>11</v>
      </c>
    </row>
    <row r="376" spans="1:16" x14ac:dyDescent="0.35">
      <c r="A376" s="3">
        <v>42639</v>
      </c>
      <c r="B376" s="2" t="str">
        <f>TEXT(Table1[[#This Row],[Date]],"mmm")</f>
        <v>Sep</v>
      </c>
      <c r="C376" s="1">
        <f>YEAR(Table1[[#This Row],[Date]])</f>
        <v>2016</v>
      </c>
      <c r="D376" s="5">
        <v>111.639999</v>
      </c>
      <c r="E376" s="5">
        <v>113.389999</v>
      </c>
      <c r="F376" s="5">
        <v>111.550003</v>
      </c>
      <c r="G376" s="5">
        <v>112.879997</v>
      </c>
      <c r="H376" s="1">
        <v>29869400</v>
      </c>
      <c r="I376">
        <v>111.818608</v>
      </c>
      <c r="J376">
        <v>102.18429159999999</v>
      </c>
      <c r="K376">
        <v>109.6806668</v>
      </c>
      <c r="L376">
        <v>117.17704209999999</v>
      </c>
      <c r="M376" s="5">
        <f>Table1[[#This Row],[AAPL.Close]] -Table1[[#This Row],[AAPL.Open]]</f>
        <v>1.2399979999999999</v>
      </c>
      <c r="N376" s="4">
        <f>(Table1[[#This Row],[AAPL.Close]] - Table1[[#This Row],[AAPL.Open]]) /Table1[[#This Row],[AAPL.Open]]</f>
        <v>1.1107112245674598E-2</v>
      </c>
      <c r="O376" s="4" t="str">
        <f>IF(Table1[[#This Row],[AAPL.Close]] &gt; Table1[[#This Row],[AAPL.Open]], "Up", "Down")</f>
        <v>Up</v>
      </c>
      <c r="P376" s="2" t="s">
        <v>10</v>
      </c>
    </row>
    <row r="377" spans="1:16" x14ac:dyDescent="0.35">
      <c r="A377" s="3">
        <v>42640</v>
      </c>
      <c r="B377" s="2" t="str">
        <f>TEXT(Table1[[#This Row],[Date]],"mmm")</f>
        <v>Sep</v>
      </c>
      <c r="C377" s="1">
        <f>YEAR(Table1[[#This Row],[Date]])</f>
        <v>2016</v>
      </c>
      <c r="D377" s="5">
        <v>113</v>
      </c>
      <c r="E377" s="5">
        <v>113.18</v>
      </c>
      <c r="F377" s="5">
        <v>112.339996</v>
      </c>
      <c r="G377" s="5">
        <v>113.089996</v>
      </c>
      <c r="H377" s="1">
        <v>24607400</v>
      </c>
      <c r="I377">
        <v>112.02663200000001</v>
      </c>
      <c r="J377">
        <v>102.4806621</v>
      </c>
      <c r="K377">
        <v>109.98166670000001</v>
      </c>
      <c r="L377">
        <v>117.4826712</v>
      </c>
      <c r="M377" s="5">
        <f>Table1[[#This Row],[AAPL.Close]] -Table1[[#This Row],[AAPL.Open]]</f>
        <v>8.9995999999999299E-2</v>
      </c>
      <c r="N377" s="4">
        <f>(Table1[[#This Row],[AAPL.Close]] - Table1[[#This Row],[AAPL.Open]]) /Table1[[#This Row],[AAPL.Open]]</f>
        <v>7.9642477876105575E-4</v>
      </c>
      <c r="O377" s="4" t="str">
        <f>IF(Table1[[#This Row],[AAPL.Close]] &gt; Table1[[#This Row],[AAPL.Open]], "Up", "Down")</f>
        <v>Up</v>
      </c>
      <c r="P377" s="2" t="s">
        <v>10</v>
      </c>
    </row>
    <row r="378" spans="1:16" x14ac:dyDescent="0.35">
      <c r="A378" s="3">
        <v>42641</v>
      </c>
      <c r="B378" s="2" t="str">
        <f>TEXT(Table1[[#This Row],[Date]],"mmm")</f>
        <v>Sep</v>
      </c>
      <c r="C378" s="1">
        <f>YEAR(Table1[[#This Row],[Date]])</f>
        <v>2016</v>
      </c>
      <c r="D378" s="5">
        <v>113.69000200000001</v>
      </c>
      <c r="E378" s="5">
        <v>114.639999</v>
      </c>
      <c r="F378" s="5">
        <v>113.43</v>
      </c>
      <c r="G378" s="5">
        <v>113.949997</v>
      </c>
      <c r="H378" s="1">
        <v>29641100</v>
      </c>
      <c r="I378">
        <v>112.878547</v>
      </c>
      <c r="J378">
        <v>102.9191994</v>
      </c>
      <c r="K378">
        <v>110.3819999</v>
      </c>
      <c r="L378">
        <v>117.84480050000001</v>
      </c>
      <c r="M378" s="5">
        <f>Table1[[#This Row],[AAPL.Close]] -Table1[[#This Row],[AAPL.Open]]</f>
        <v>0.25999499999998932</v>
      </c>
      <c r="N378" s="4">
        <f>(Table1[[#This Row],[AAPL.Close]] - Table1[[#This Row],[AAPL.Open]]) /Table1[[#This Row],[AAPL.Open]]</f>
        <v>2.2868765540173825E-3</v>
      </c>
      <c r="O378" s="4" t="str">
        <f>IF(Table1[[#This Row],[AAPL.Close]] &gt; Table1[[#This Row],[AAPL.Open]], "Up", "Down")</f>
        <v>Up</v>
      </c>
      <c r="P378" s="2" t="s">
        <v>10</v>
      </c>
    </row>
    <row r="379" spans="1:16" x14ac:dyDescent="0.35">
      <c r="A379" s="3">
        <v>42642</v>
      </c>
      <c r="B379" s="2" t="str">
        <f>TEXT(Table1[[#This Row],[Date]],"mmm")</f>
        <v>Sep</v>
      </c>
      <c r="C379" s="1">
        <f>YEAR(Table1[[#This Row],[Date]])</f>
        <v>2016</v>
      </c>
      <c r="D379" s="5">
        <v>113.160004</v>
      </c>
      <c r="E379" s="5">
        <v>113.800003</v>
      </c>
      <c r="F379" s="5">
        <v>111.800003</v>
      </c>
      <c r="G379" s="5">
        <v>112.18</v>
      </c>
      <c r="H379" s="1">
        <v>35887000</v>
      </c>
      <c r="I379">
        <v>111.125193</v>
      </c>
      <c r="J379">
        <v>103.45468700000001</v>
      </c>
      <c r="K379">
        <v>110.7065001</v>
      </c>
      <c r="L379">
        <v>117.9583131</v>
      </c>
      <c r="M379" s="5">
        <f>Table1[[#This Row],[AAPL.Close]] -Table1[[#This Row],[AAPL.Open]]</f>
        <v>-0.98000399999999388</v>
      </c>
      <c r="N379" s="4">
        <f>(Table1[[#This Row],[AAPL.Close]] - Table1[[#This Row],[AAPL.Open]]) /Table1[[#This Row],[AAPL.Open]]</f>
        <v>-8.6603390363965867E-3</v>
      </c>
      <c r="O379" s="4" t="str">
        <f>IF(Table1[[#This Row],[AAPL.Close]] &gt; Table1[[#This Row],[AAPL.Open]], "Up", "Down")</f>
        <v>Down</v>
      </c>
      <c r="P379" s="2" t="s">
        <v>11</v>
      </c>
    </row>
    <row r="380" spans="1:16" x14ac:dyDescent="0.35">
      <c r="A380" s="3">
        <v>42643</v>
      </c>
      <c r="B380" s="2" t="str">
        <f>TEXT(Table1[[#This Row],[Date]],"mmm")</f>
        <v>Sep</v>
      </c>
      <c r="C380" s="1">
        <f>YEAR(Table1[[#This Row],[Date]])</f>
        <v>2016</v>
      </c>
      <c r="D380" s="5">
        <v>112.459999</v>
      </c>
      <c r="E380" s="5">
        <v>113.370003</v>
      </c>
      <c r="F380" s="5">
        <v>111.800003</v>
      </c>
      <c r="G380" s="5">
        <v>113.050003</v>
      </c>
      <c r="H380" s="1">
        <v>36379100</v>
      </c>
      <c r="I380">
        <v>111.987015</v>
      </c>
      <c r="J380">
        <v>104.0048036</v>
      </c>
      <c r="K380">
        <v>111.0243334</v>
      </c>
      <c r="L380">
        <v>118.0438632</v>
      </c>
      <c r="M380" s="5">
        <f>Table1[[#This Row],[AAPL.Close]] -Table1[[#This Row],[AAPL.Open]]</f>
        <v>0.59000400000000752</v>
      </c>
      <c r="N380" s="4">
        <f>(Table1[[#This Row],[AAPL.Close]] - Table1[[#This Row],[AAPL.Open]]) /Table1[[#This Row],[AAPL.Open]]</f>
        <v>5.2463454138925213E-3</v>
      </c>
      <c r="O380" s="4" t="str">
        <f>IF(Table1[[#This Row],[AAPL.Close]] &gt; Table1[[#This Row],[AAPL.Open]], "Up", "Down")</f>
        <v>Up</v>
      </c>
      <c r="P380" s="2" t="s">
        <v>10</v>
      </c>
    </row>
    <row r="381" spans="1:16" x14ac:dyDescent="0.35">
      <c r="A381" s="3">
        <v>42278</v>
      </c>
      <c r="B381" s="2" t="str">
        <f>TEXT(Table1[[#This Row],[Date]],"mmm")</f>
        <v>Oct</v>
      </c>
      <c r="C381" s="1">
        <f>YEAR(Table1[[#This Row],[Date]])</f>
        <v>2015</v>
      </c>
      <c r="D381" s="5">
        <v>109.07</v>
      </c>
      <c r="E381" s="5">
        <v>109.620003</v>
      </c>
      <c r="F381" s="5">
        <v>107.30999799999999</v>
      </c>
      <c r="G381" s="5">
        <v>109.58000199999999</v>
      </c>
      <c r="H381" s="1">
        <v>63929100</v>
      </c>
      <c r="I381">
        <v>106.277328</v>
      </c>
      <c r="J381">
        <v>108.5812026</v>
      </c>
      <c r="K381">
        <v>112.9140003</v>
      </c>
      <c r="L381">
        <v>117.246798</v>
      </c>
      <c r="M381" s="5">
        <f>Table1[[#This Row],[AAPL.Close]] -Table1[[#This Row],[AAPL.Open]]</f>
        <v>0.51000200000000007</v>
      </c>
      <c r="N381" s="4">
        <f>(Table1[[#This Row],[AAPL.Close]] - Table1[[#This Row],[AAPL.Open]]) /Table1[[#This Row],[AAPL.Open]]</f>
        <v>4.6759145502888065E-3</v>
      </c>
      <c r="O381" s="4" t="str">
        <f>IF(Table1[[#This Row],[AAPL.Close]] &gt; Table1[[#This Row],[AAPL.Open]], "Up", "Down")</f>
        <v>Up</v>
      </c>
      <c r="P381" s="2" t="s">
        <v>10</v>
      </c>
    </row>
    <row r="382" spans="1:16" x14ac:dyDescent="0.35">
      <c r="A382" s="3">
        <v>42279</v>
      </c>
      <c r="B382" s="2" t="str">
        <f>TEXT(Table1[[#This Row],[Date]],"mmm")</f>
        <v>Oct</v>
      </c>
      <c r="C382" s="1">
        <f>YEAR(Table1[[#This Row],[Date]])</f>
        <v>2015</v>
      </c>
      <c r="D382" s="5">
        <v>108.010002</v>
      </c>
      <c r="E382" s="5">
        <v>111.010002</v>
      </c>
      <c r="F382" s="5">
        <v>107.550003</v>
      </c>
      <c r="G382" s="5">
        <v>110.379997</v>
      </c>
      <c r="H382" s="1">
        <v>58019800</v>
      </c>
      <c r="I382">
        <v>107.053212</v>
      </c>
      <c r="J382">
        <v>108.3483737</v>
      </c>
      <c r="K382">
        <v>112.84316699999999</v>
      </c>
      <c r="L382">
        <v>117.3379602</v>
      </c>
      <c r="M382" s="5">
        <f>Table1[[#This Row],[AAPL.Close]] -Table1[[#This Row],[AAPL.Open]]</f>
        <v>2.369995000000003</v>
      </c>
      <c r="N382" s="4">
        <f>(Table1[[#This Row],[AAPL.Close]] - Table1[[#This Row],[AAPL.Open]]) /Table1[[#This Row],[AAPL.Open]]</f>
        <v>2.194236604124869E-2</v>
      </c>
      <c r="O382" s="4" t="str">
        <f>IF(Table1[[#This Row],[AAPL.Close]] &gt; Table1[[#This Row],[AAPL.Open]], "Up", "Down")</f>
        <v>Up</v>
      </c>
      <c r="P382" s="2" t="s">
        <v>10</v>
      </c>
    </row>
    <row r="383" spans="1:16" x14ac:dyDescent="0.35">
      <c r="A383" s="3">
        <v>42282</v>
      </c>
      <c r="B383" s="2" t="str">
        <f>TEXT(Table1[[#This Row],[Date]],"mmm")</f>
        <v>Oct</v>
      </c>
      <c r="C383" s="1">
        <f>YEAR(Table1[[#This Row],[Date]])</f>
        <v>2015</v>
      </c>
      <c r="D383" s="5">
        <v>109.879997</v>
      </c>
      <c r="E383" s="5">
        <v>111.370003</v>
      </c>
      <c r="F383" s="5">
        <v>109.07</v>
      </c>
      <c r="G383" s="5">
        <v>110.779999</v>
      </c>
      <c r="H383" s="1">
        <v>52064700</v>
      </c>
      <c r="I383">
        <v>107.441158</v>
      </c>
      <c r="J383">
        <v>108.5314398</v>
      </c>
      <c r="K383">
        <v>112.89300040000001</v>
      </c>
      <c r="L383">
        <v>117.2545609</v>
      </c>
      <c r="M383" s="5">
        <f>Table1[[#This Row],[AAPL.Close]] -Table1[[#This Row],[AAPL.Open]]</f>
        <v>0.90000200000000063</v>
      </c>
      <c r="N383" s="4">
        <f>(Table1[[#This Row],[AAPL.Close]] - Table1[[#This Row],[AAPL.Open]]) /Table1[[#This Row],[AAPL.Open]]</f>
        <v>8.1907719746297462E-3</v>
      </c>
      <c r="O383" s="4" t="str">
        <f>IF(Table1[[#This Row],[AAPL.Close]] &gt; Table1[[#This Row],[AAPL.Open]], "Up", "Down")</f>
        <v>Up</v>
      </c>
      <c r="P383" s="2" t="s">
        <v>10</v>
      </c>
    </row>
    <row r="384" spans="1:16" x14ac:dyDescent="0.35">
      <c r="A384" s="3">
        <v>42283</v>
      </c>
      <c r="B384" s="2" t="str">
        <f>TEXT(Table1[[#This Row],[Date]],"mmm")</f>
        <v>Oct</v>
      </c>
      <c r="C384" s="1">
        <f>YEAR(Table1[[#This Row],[Date]])</f>
        <v>2015</v>
      </c>
      <c r="D384" s="5">
        <v>110.629997</v>
      </c>
      <c r="E384" s="5">
        <v>111.739998</v>
      </c>
      <c r="F384" s="5">
        <v>109.769997</v>
      </c>
      <c r="G384" s="5">
        <v>111.30999799999999</v>
      </c>
      <c r="H384" s="1">
        <v>48196800</v>
      </c>
      <c r="I384">
        <v>107.95518300000001</v>
      </c>
      <c r="J384">
        <v>108.4365671</v>
      </c>
      <c r="K384">
        <v>112.85350029999999</v>
      </c>
      <c r="L384">
        <v>117.2704335</v>
      </c>
      <c r="M384" s="5">
        <f>Table1[[#This Row],[AAPL.Close]] -Table1[[#This Row],[AAPL.Open]]</f>
        <v>0.68000099999999009</v>
      </c>
      <c r="N384" s="4">
        <f>(Table1[[#This Row],[AAPL.Close]] - Table1[[#This Row],[AAPL.Open]]) /Table1[[#This Row],[AAPL.Open]]</f>
        <v>6.1466240480869761E-3</v>
      </c>
      <c r="O384" s="4" t="str">
        <f>IF(Table1[[#This Row],[AAPL.Close]] &gt; Table1[[#This Row],[AAPL.Open]], "Up", "Down")</f>
        <v>Up</v>
      </c>
      <c r="P384" s="2" t="s">
        <v>10</v>
      </c>
    </row>
    <row r="385" spans="1:16" x14ac:dyDescent="0.35">
      <c r="A385" s="3">
        <v>42284</v>
      </c>
      <c r="B385" s="2" t="str">
        <f>TEXT(Table1[[#This Row],[Date]],"mmm")</f>
        <v>Oct</v>
      </c>
      <c r="C385" s="1">
        <f>YEAR(Table1[[#This Row],[Date]])</f>
        <v>2015</v>
      </c>
      <c r="D385" s="5">
        <v>111.739998</v>
      </c>
      <c r="E385" s="5">
        <v>111.769997</v>
      </c>
      <c r="F385" s="5">
        <v>109.410004</v>
      </c>
      <c r="G385" s="5">
        <v>110.779999</v>
      </c>
      <c r="H385" s="1">
        <v>46765600</v>
      </c>
      <c r="I385">
        <v>107.441158</v>
      </c>
      <c r="J385">
        <v>108.3485136</v>
      </c>
      <c r="K385">
        <v>112.8205004</v>
      </c>
      <c r="L385">
        <v>117.2924872</v>
      </c>
      <c r="M385" s="5">
        <f>Table1[[#This Row],[AAPL.Close]] -Table1[[#This Row],[AAPL.Open]]</f>
        <v>-0.95999899999999627</v>
      </c>
      <c r="N385" s="4">
        <f>(Table1[[#This Row],[AAPL.Close]] - Table1[[#This Row],[AAPL.Open]]) /Table1[[#This Row],[AAPL.Open]]</f>
        <v>-8.5913640342108848E-3</v>
      </c>
      <c r="O385" s="4" t="str">
        <f>IF(Table1[[#This Row],[AAPL.Close]] &gt; Table1[[#This Row],[AAPL.Open]], "Up", "Down")</f>
        <v>Down</v>
      </c>
      <c r="P385" s="2" t="s">
        <v>11</v>
      </c>
    </row>
    <row r="386" spans="1:16" x14ac:dyDescent="0.35">
      <c r="A386" s="3">
        <v>42285</v>
      </c>
      <c r="B386" s="2" t="str">
        <f>TEXT(Table1[[#This Row],[Date]],"mmm")</f>
        <v>Oct</v>
      </c>
      <c r="C386" s="1">
        <f>YEAR(Table1[[#This Row],[Date]])</f>
        <v>2015</v>
      </c>
      <c r="D386" s="5">
        <v>110.19000200000001</v>
      </c>
      <c r="E386" s="5">
        <v>110.19000200000001</v>
      </c>
      <c r="F386" s="5">
        <v>108.209999</v>
      </c>
      <c r="G386" s="5">
        <v>109.5</v>
      </c>
      <c r="H386" s="1">
        <v>61979600</v>
      </c>
      <c r="I386">
        <v>106.199737</v>
      </c>
      <c r="J386">
        <v>107.9731432</v>
      </c>
      <c r="K386">
        <v>112.68966709999999</v>
      </c>
      <c r="L386">
        <v>117.40619100000001</v>
      </c>
      <c r="M386" s="5">
        <f>Table1[[#This Row],[AAPL.Close]] -Table1[[#This Row],[AAPL.Open]]</f>
        <v>-0.69000200000000689</v>
      </c>
      <c r="N386" s="4">
        <f>(Table1[[#This Row],[AAPL.Close]] - Table1[[#This Row],[AAPL.Open]]) /Table1[[#This Row],[AAPL.Open]]</f>
        <v>-6.2619292810250317E-3</v>
      </c>
      <c r="O386" s="4" t="str">
        <f>IF(Table1[[#This Row],[AAPL.Close]] &gt; Table1[[#This Row],[AAPL.Open]], "Up", "Down")</f>
        <v>Down</v>
      </c>
      <c r="P386" s="2" t="s">
        <v>11</v>
      </c>
    </row>
    <row r="387" spans="1:16" x14ac:dyDescent="0.35">
      <c r="A387" s="3">
        <v>42286</v>
      </c>
      <c r="B387" s="2" t="str">
        <f>TEXT(Table1[[#This Row],[Date]],"mmm")</f>
        <v>Oct</v>
      </c>
      <c r="C387" s="1">
        <f>YEAR(Table1[[#This Row],[Date]])</f>
        <v>2015</v>
      </c>
      <c r="D387" s="5">
        <v>110</v>
      </c>
      <c r="E387" s="5">
        <v>112.279999</v>
      </c>
      <c r="F387" s="5">
        <v>109.489998</v>
      </c>
      <c r="G387" s="5">
        <v>112.120003</v>
      </c>
      <c r="H387" s="1">
        <v>52766100</v>
      </c>
      <c r="I387">
        <v>108.740775</v>
      </c>
      <c r="J387">
        <v>107.8423978</v>
      </c>
      <c r="K387">
        <v>112.5848337</v>
      </c>
      <c r="L387">
        <v>117.3272697</v>
      </c>
      <c r="M387" s="5">
        <f>Table1[[#This Row],[AAPL.Close]] -Table1[[#This Row],[AAPL.Open]]</f>
        <v>2.120002999999997</v>
      </c>
      <c r="N387" s="4">
        <f>(Table1[[#This Row],[AAPL.Close]] - Table1[[#This Row],[AAPL.Open]]) /Table1[[#This Row],[AAPL.Open]]</f>
        <v>1.9272754545454518E-2</v>
      </c>
      <c r="O387" s="4" t="str">
        <f>IF(Table1[[#This Row],[AAPL.Close]] &gt; Table1[[#This Row],[AAPL.Open]], "Up", "Down")</f>
        <v>Up</v>
      </c>
      <c r="P387" s="2" t="s">
        <v>10</v>
      </c>
    </row>
    <row r="388" spans="1:16" x14ac:dyDescent="0.35">
      <c r="A388" s="3">
        <v>42289</v>
      </c>
      <c r="B388" s="2" t="str">
        <f>TEXT(Table1[[#This Row],[Date]],"mmm")</f>
        <v>Oct</v>
      </c>
      <c r="C388" s="1">
        <f>YEAR(Table1[[#This Row],[Date]])</f>
        <v>2015</v>
      </c>
      <c r="D388" s="5">
        <v>112.730003</v>
      </c>
      <c r="E388" s="5">
        <v>112.75</v>
      </c>
      <c r="F388" s="5">
        <v>111.44000200000001</v>
      </c>
      <c r="G388" s="5">
        <v>111.599998</v>
      </c>
      <c r="H388" s="1">
        <v>30467200</v>
      </c>
      <c r="I388">
        <v>108.23644299999999</v>
      </c>
      <c r="J388">
        <v>107.8680865</v>
      </c>
      <c r="K388">
        <v>112.3970004</v>
      </c>
      <c r="L388">
        <v>116.9259144</v>
      </c>
      <c r="M388" s="5">
        <f>Table1[[#This Row],[AAPL.Close]] -Table1[[#This Row],[AAPL.Open]]</f>
        <v>-1.130004999999997</v>
      </c>
      <c r="N388" s="4">
        <f>(Table1[[#This Row],[AAPL.Close]] - Table1[[#This Row],[AAPL.Open]]) /Table1[[#This Row],[AAPL.Open]]</f>
        <v>-1.002399512044719E-2</v>
      </c>
      <c r="O388" s="4" t="str">
        <f>IF(Table1[[#This Row],[AAPL.Close]] &gt; Table1[[#This Row],[AAPL.Open]], "Up", "Down")</f>
        <v>Down</v>
      </c>
      <c r="P388" s="2" t="s">
        <v>11</v>
      </c>
    </row>
    <row r="389" spans="1:16" x14ac:dyDescent="0.35">
      <c r="A389" s="3">
        <v>42290</v>
      </c>
      <c r="B389" s="2" t="str">
        <f>TEXT(Table1[[#This Row],[Date]],"mmm")</f>
        <v>Oct</v>
      </c>
      <c r="C389" s="1">
        <f>YEAR(Table1[[#This Row],[Date]])</f>
        <v>2015</v>
      </c>
      <c r="D389" s="5">
        <v>110.82</v>
      </c>
      <c r="E389" s="5">
        <v>112.449997</v>
      </c>
      <c r="F389" s="5">
        <v>110.68</v>
      </c>
      <c r="G389" s="5">
        <v>111.790001</v>
      </c>
      <c r="H389" s="1">
        <v>33049300</v>
      </c>
      <c r="I389">
        <v>108.42071900000001</v>
      </c>
      <c r="J389">
        <v>107.92361270000001</v>
      </c>
      <c r="K389">
        <v>112.1918338</v>
      </c>
      <c r="L389">
        <v>116.4600549</v>
      </c>
      <c r="M389" s="5">
        <f>Table1[[#This Row],[AAPL.Close]] -Table1[[#This Row],[AAPL.Open]]</f>
        <v>0.97000100000001055</v>
      </c>
      <c r="N389" s="4">
        <f>(Table1[[#This Row],[AAPL.Close]] - Table1[[#This Row],[AAPL.Open]]) /Table1[[#This Row],[AAPL.Open]]</f>
        <v>8.7529417072731517E-3</v>
      </c>
      <c r="O389" s="4" t="str">
        <f>IF(Table1[[#This Row],[AAPL.Close]] &gt; Table1[[#This Row],[AAPL.Open]], "Up", "Down")</f>
        <v>Up</v>
      </c>
      <c r="P389" s="2" t="s">
        <v>10</v>
      </c>
    </row>
    <row r="390" spans="1:16" x14ac:dyDescent="0.35">
      <c r="A390" s="3">
        <v>42291</v>
      </c>
      <c r="B390" s="2" t="str">
        <f>TEXT(Table1[[#This Row],[Date]],"mmm")</f>
        <v>Oct</v>
      </c>
      <c r="C390" s="1">
        <f>YEAR(Table1[[#This Row],[Date]])</f>
        <v>2015</v>
      </c>
      <c r="D390" s="5">
        <v>111.290001</v>
      </c>
      <c r="E390" s="5">
        <v>111.519997</v>
      </c>
      <c r="F390" s="5">
        <v>109.55999799999999</v>
      </c>
      <c r="G390" s="5">
        <v>110.209999</v>
      </c>
      <c r="H390" s="1">
        <v>44462400</v>
      </c>
      <c r="I390">
        <v>106.88833700000001</v>
      </c>
      <c r="J390">
        <v>107.9810483</v>
      </c>
      <c r="K390">
        <v>111.9068336</v>
      </c>
      <c r="L390">
        <v>115.83261880000001</v>
      </c>
      <c r="M390" s="5">
        <f>Table1[[#This Row],[AAPL.Close]] -Table1[[#This Row],[AAPL.Open]]</f>
        <v>-1.0800020000000075</v>
      </c>
      <c r="N390" s="4">
        <f>(Table1[[#This Row],[AAPL.Close]] - Table1[[#This Row],[AAPL.Open]]) /Table1[[#This Row],[AAPL.Open]]</f>
        <v>-9.7043938385804086E-3</v>
      </c>
      <c r="O390" s="4" t="str">
        <f>IF(Table1[[#This Row],[AAPL.Close]] &gt; Table1[[#This Row],[AAPL.Open]], "Up", "Down")</f>
        <v>Down</v>
      </c>
      <c r="P390" s="2" t="s">
        <v>11</v>
      </c>
    </row>
    <row r="391" spans="1:16" x14ac:dyDescent="0.35">
      <c r="A391" s="3">
        <v>42292</v>
      </c>
      <c r="B391" s="2" t="str">
        <f>TEXT(Table1[[#This Row],[Date]],"mmm")</f>
        <v>Oct</v>
      </c>
      <c r="C391" s="1">
        <f>YEAR(Table1[[#This Row],[Date]])</f>
        <v>2015</v>
      </c>
      <c r="D391" s="5">
        <v>110.93</v>
      </c>
      <c r="E391" s="5">
        <v>112.099998</v>
      </c>
      <c r="F391" s="5">
        <v>110.489998</v>
      </c>
      <c r="G391" s="5">
        <v>111.860001</v>
      </c>
      <c r="H391" s="1">
        <v>37673500</v>
      </c>
      <c r="I391">
        <v>108.488609</v>
      </c>
      <c r="J391">
        <v>108.0344358</v>
      </c>
      <c r="K391">
        <v>111.7455003</v>
      </c>
      <c r="L391">
        <v>115.4565647</v>
      </c>
      <c r="M391" s="5">
        <f>Table1[[#This Row],[AAPL.Close]] -Table1[[#This Row],[AAPL.Open]]</f>
        <v>0.93000099999999009</v>
      </c>
      <c r="N391" s="4">
        <f>(Table1[[#This Row],[AAPL.Close]] - Table1[[#This Row],[AAPL.Open]]) /Table1[[#This Row],[AAPL.Open]]</f>
        <v>8.383674389254395E-3</v>
      </c>
      <c r="O391" s="4" t="str">
        <f>IF(Table1[[#This Row],[AAPL.Close]] &gt; Table1[[#This Row],[AAPL.Open]], "Up", "Down")</f>
        <v>Up</v>
      </c>
      <c r="P391" s="2" t="s">
        <v>10</v>
      </c>
    </row>
    <row r="392" spans="1:16" x14ac:dyDescent="0.35">
      <c r="A392" s="3">
        <v>42293</v>
      </c>
      <c r="B392" s="2" t="str">
        <f>TEXT(Table1[[#This Row],[Date]],"mmm")</f>
        <v>Oct</v>
      </c>
      <c r="C392" s="1">
        <f>YEAR(Table1[[#This Row],[Date]])</f>
        <v>2015</v>
      </c>
      <c r="D392" s="5">
        <v>111.779999</v>
      </c>
      <c r="E392" s="5">
        <v>112</v>
      </c>
      <c r="F392" s="5">
        <v>110.529999</v>
      </c>
      <c r="G392" s="5">
        <v>111.040001</v>
      </c>
      <c r="H392" s="1">
        <v>39232600</v>
      </c>
      <c r="I392">
        <v>107.69332300000001</v>
      </c>
      <c r="J392">
        <v>107.9887068</v>
      </c>
      <c r="K392">
        <v>111.6446669</v>
      </c>
      <c r="L392">
        <v>115.3006269</v>
      </c>
      <c r="M392" s="5">
        <f>Table1[[#This Row],[AAPL.Close]] -Table1[[#This Row],[AAPL.Open]]</f>
        <v>-0.73999799999999993</v>
      </c>
      <c r="N392" s="4">
        <f>(Table1[[#This Row],[AAPL.Close]] - Table1[[#This Row],[AAPL.Open]]) /Table1[[#This Row],[AAPL.Open]]</f>
        <v>-6.6201288837012774E-3</v>
      </c>
      <c r="O392" s="4" t="str">
        <f>IF(Table1[[#This Row],[AAPL.Close]] &gt; Table1[[#This Row],[AAPL.Open]], "Up", "Down")</f>
        <v>Down</v>
      </c>
      <c r="P392" s="2" t="s">
        <v>11</v>
      </c>
    </row>
    <row r="393" spans="1:16" x14ac:dyDescent="0.35">
      <c r="A393" s="3">
        <v>42296</v>
      </c>
      <c r="B393" s="2" t="str">
        <f>TEXT(Table1[[#This Row],[Date]],"mmm")</f>
        <v>Oct</v>
      </c>
      <c r="C393" s="1">
        <f>YEAR(Table1[[#This Row],[Date]])</f>
        <v>2015</v>
      </c>
      <c r="D393" s="5">
        <v>110.800003</v>
      </c>
      <c r="E393" s="5">
        <v>111.75</v>
      </c>
      <c r="F393" s="5">
        <v>110.110001</v>
      </c>
      <c r="G393" s="5">
        <v>111.730003</v>
      </c>
      <c r="H393" s="1">
        <v>29759200</v>
      </c>
      <c r="I393">
        <v>108.36253000000001</v>
      </c>
      <c r="J393">
        <v>108.09734829999999</v>
      </c>
      <c r="K393">
        <v>111.4671668</v>
      </c>
      <c r="L393">
        <v>114.83698529999999</v>
      </c>
      <c r="M393" s="5">
        <f>Table1[[#This Row],[AAPL.Close]] -Table1[[#This Row],[AAPL.Open]]</f>
        <v>0.92999999999999261</v>
      </c>
      <c r="N393" s="4">
        <f>(Table1[[#This Row],[AAPL.Close]] - Table1[[#This Row],[AAPL.Open]]) /Table1[[#This Row],[AAPL.Open]]</f>
        <v>8.393501577793212E-3</v>
      </c>
      <c r="O393" s="4" t="str">
        <f>IF(Table1[[#This Row],[AAPL.Close]] &gt; Table1[[#This Row],[AAPL.Open]], "Up", "Down")</f>
        <v>Up</v>
      </c>
      <c r="P393" s="2" t="s">
        <v>10</v>
      </c>
    </row>
    <row r="394" spans="1:16" x14ac:dyDescent="0.35">
      <c r="A394" s="3">
        <v>42297</v>
      </c>
      <c r="B394" s="2" t="str">
        <f>TEXT(Table1[[#This Row],[Date]],"mmm")</f>
        <v>Oct</v>
      </c>
      <c r="C394" s="1">
        <f>YEAR(Table1[[#This Row],[Date]])</f>
        <v>2015</v>
      </c>
      <c r="D394" s="5">
        <v>111.339996</v>
      </c>
      <c r="E394" s="5">
        <v>114.16999800000001</v>
      </c>
      <c r="F394" s="5">
        <v>110.82</v>
      </c>
      <c r="G394" s="5">
        <v>113.769997</v>
      </c>
      <c r="H394" s="1">
        <v>48778800</v>
      </c>
      <c r="I394">
        <v>110.34103899999999</v>
      </c>
      <c r="J394">
        <v>108.12004690000001</v>
      </c>
      <c r="K394">
        <v>111.44483339999999</v>
      </c>
      <c r="L394">
        <v>114.76962</v>
      </c>
      <c r="M394" s="5">
        <f>Table1[[#This Row],[AAPL.Close]] -Table1[[#This Row],[AAPL.Open]]</f>
        <v>2.4300010000000043</v>
      </c>
      <c r="N394" s="4">
        <f>(Table1[[#This Row],[AAPL.Close]] - Table1[[#This Row],[AAPL.Open]]) /Table1[[#This Row],[AAPL.Open]]</f>
        <v>2.1825050182326253E-2</v>
      </c>
      <c r="O394" s="4" t="str">
        <f>IF(Table1[[#This Row],[AAPL.Close]] &gt; Table1[[#This Row],[AAPL.Open]], "Up", "Down")</f>
        <v>Up</v>
      </c>
      <c r="P394" s="2" t="s">
        <v>10</v>
      </c>
    </row>
    <row r="395" spans="1:16" x14ac:dyDescent="0.35">
      <c r="A395" s="3">
        <v>42298</v>
      </c>
      <c r="B395" s="2" t="str">
        <f>TEXT(Table1[[#This Row],[Date]],"mmm")</f>
        <v>Oct</v>
      </c>
      <c r="C395" s="1">
        <f>YEAR(Table1[[#This Row],[Date]])</f>
        <v>2015</v>
      </c>
      <c r="D395" s="5">
        <v>114</v>
      </c>
      <c r="E395" s="5">
        <v>115.58000199999999</v>
      </c>
      <c r="F395" s="5">
        <v>113.699997</v>
      </c>
      <c r="G395" s="5">
        <v>113.760002</v>
      </c>
      <c r="H395" s="1">
        <v>41795200</v>
      </c>
      <c r="I395">
        <v>110.331345</v>
      </c>
      <c r="J395">
        <v>108.0929292</v>
      </c>
      <c r="K395">
        <v>111.4565001</v>
      </c>
      <c r="L395">
        <v>114.8200709</v>
      </c>
      <c r="M395" s="5">
        <f>Table1[[#This Row],[AAPL.Close]] -Table1[[#This Row],[AAPL.Open]]</f>
        <v>-0.23999799999999993</v>
      </c>
      <c r="N395" s="4">
        <f>(Table1[[#This Row],[AAPL.Close]] - Table1[[#This Row],[AAPL.Open]]) /Table1[[#This Row],[AAPL.Open]]</f>
        <v>-2.105245614035087E-3</v>
      </c>
      <c r="O395" s="4" t="str">
        <f>IF(Table1[[#This Row],[AAPL.Close]] &gt; Table1[[#This Row],[AAPL.Open]], "Up", "Down")</f>
        <v>Down</v>
      </c>
      <c r="P395" s="2" t="s">
        <v>11</v>
      </c>
    </row>
    <row r="396" spans="1:16" x14ac:dyDescent="0.35">
      <c r="A396" s="3">
        <v>42299</v>
      </c>
      <c r="B396" s="2" t="str">
        <f>TEXT(Table1[[#This Row],[Date]],"mmm")</f>
        <v>Oct</v>
      </c>
      <c r="C396" s="1">
        <f>YEAR(Table1[[#This Row],[Date]])</f>
        <v>2015</v>
      </c>
      <c r="D396" s="5">
        <v>114.33000199999999</v>
      </c>
      <c r="E396" s="5">
        <v>115.5</v>
      </c>
      <c r="F396" s="5">
        <v>114.099998</v>
      </c>
      <c r="G396" s="5">
        <v>115.5</v>
      </c>
      <c r="H396" s="1">
        <v>41654100</v>
      </c>
      <c r="I396">
        <v>112.018901</v>
      </c>
      <c r="J396">
        <v>107.99208350000001</v>
      </c>
      <c r="K396">
        <v>111.4936666</v>
      </c>
      <c r="L396">
        <v>114.9952498</v>
      </c>
      <c r="M396" s="5">
        <f>Table1[[#This Row],[AAPL.Close]] -Table1[[#This Row],[AAPL.Open]]</f>
        <v>1.1699980000000068</v>
      </c>
      <c r="N396" s="4">
        <f>(Table1[[#This Row],[AAPL.Close]] - Table1[[#This Row],[AAPL.Open]]) /Table1[[#This Row],[AAPL.Open]]</f>
        <v>1.0233516833140673E-2</v>
      </c>
      <c r="O396" s="4" t="str">
        <f>IF(Table1[[#This Row],[AAPL.Close]] &gt; Table1[[#This Row],[AAPL.Open]], "Up", "Down")</f>
        <v>Up</v>
      </c>
      <c r="P396" s="2" t="s">
        <v>10</v>
      </c>
    </row>
    <row r="397" spans="1:16" x14ac:dyDescent="0.35">
      <c r="A397" s="3">
        <v>42300</v>
      </c>
      <c r="B397" s="2" t="str">
        <f>TEXT(Table1[[#This Row],[Date]],"mmm")</f>
        <v>Oct</v>
      </c>
      <c r="C397" s="1">
        <f>YEAR(Table1[[#This Row],[Date]])</f>
        <v>2015</v>
      </c>
      <c r="D397" s="5">
        <v>116.699997</v>
      </c>
      <c r="E397" s="5">
        <v>119.230003</v>
      </c>
      <c r="F397" s="5">
        <v>116.33000199999999</v>
      </c>
      <c r="G397" s="5">
        <v>119.08000199999999</v>
      </c>
      <c r="H397" s="1">
        <v>59366900</v>
      </c>
      <c r="I397">
        <v>115.491004</v>
      </c>
      <c r="J397">
        <v>107.341724</v>
      </c>
      <c r="K397">
        <v>111.6473335</v>
      </c>
      <c r="L397">
        <v>115.9529429</v>
      </c>
      <c r="M397" s="5">
        <f>Table1[[#This Row],[AAPL.Close]] -Table1[[#This Row],[AAPL.Open]]</f>
        <v>2.380004999999997</v>
      </c>
      <c r="N397" s="4">
        <f>(Table1[[#This Row],[AAPL.Close]] - Table1[[#This Row],[AAPL.Open]]) /Table1[[#This Row],[AAPL.Open]]</f>
        <v>2.0394216462576234E-2</v>
      </c>
      <c r="O397" s="4" t="str">
        <f>IF(Table1[[#This Row],[AAPL.Close]] &gt; Table1[[#This Row],[AAPL.Open]], "Up", "Down")</f>
        <v>Up</v>
      </c>
      <c r="P397" s="2" t="s">
        <v>10</v>
      </c>
    </row>
    <row r="398" spans="1:16" x14ac:dyDescent="0.35">
      <c r="A398" s="3">
        <v>42303</v>
      </c>
      <c r="B398" s="2" t="str">
        <f>TEXT(Table1[[#This Row],[Date]],"mmm")</f>
        <v>Oct</v>
      </c>
      <c r="C398" s="1">
        <f>YEAR(Table1[[#This Row],[Date]])</f>
        <v>2015</v>
      </c>
      <c r="D398" s="5">
        <v>118.08000199999999</v>
      </c>
      <c r="E398" s="5">
        <v>118.129997</v>
      </c>
      <c r="F398" s="5">
        <v>114.91999800000001</v>
      </c>
      <c r="G398" s="5">
        <v>115.279999</v>
      </c>
      <c r="H398" s="1">
        <v>66333800</v>
      </c>
      <c r="I398">
        <v>111.80553</v>
      </c>
      <c r="J398">
        <v>107.1068229</v>
      </c>
      <c r="K398">
        <v>111.7953333</v>
      </c>
      <c r="L398">
        <v>116.48384369999999</v>
      </c>
      <c r="M398" s="5">
        <f>Table1[[#This Row],[AAPL.Close]] -Table1[[#This Row],[AAPL.Open]]</f>
        <v>-2.8000029999999896</v>
      </c>
      <c r="N398" s="4">
        <f>(Table1[[#This Row],[AAPL.Close]] - Table1[[#This Row],[AAPL.Open]]) /Table1[[#This Row],[AAPL.Open]]</f>
        <v>-2.3712762132236328E-2</v>
      </c>
      <c r="O398" s="4" t="str">
        <f>IF(Table1[[#This Row],[AAPL.Close]] &gt; Table1[[#This Row],[AAPL.Open]], "Up", "Down")</f>
        <v>Down</v>
      </c>
      <c r="P398" s="2" t="s">
        <v>11</v>
      </c>
    </row>
    <row r="399" spans="1:16" x14ac:dyDescent="0.35">
      <c r="A399" s="3">
        <v>42304</v>
      </c>
      <c r="B399" s="2" t="str">
        <f>TEXT(Table1[[#This Row],[Date]],"mmm")</f>
        <v>Oct</v>
      </c>
      <c r="C399" s="1">
        <f>YEAR(Table1[[#This Row],[Date]])</f>
        <v>2015</v>
      </c>
      <c r="D399" s="5">
        <v>115.400002</v>
      </c>
      <c r="E399" s="5">
        <v>116.540001</v>
      </c>
      <c r="F399" s="5">
        <v>113.989998</v>
      </c>
      <c r="G399" s="5">
        <v>114.550003</v>
      </c>
      <c r="H399" s="1">
        <v>69884400</v>
      </c>
      <c r="I399">
        <v>111.09753600000001</v>
      </c>
      <c r="J399">
        <v>107.2139281</v>
      </c>
      <c r="K399">
        <v>112.0395</v>
      </c>
      <c r="L399">
        <v>116.8650718</v>
      </c>
      <c r="M399" s="5">
        <f>Table1[[#This Row],[AAPL.Close]] -Table1[[#This Row],[AAPL.Open]]</f>
        <v>-0.84999899999999684</v>
      </c>
      <c r="N399" s="4">
        <f>(Table1[[#This Row],[AAPL.Close]] - Table1[[#This Row],[AAPL.Open]]) /Table1[[#This Row],[AAPL.Open]]</f>
        <v>-7.3656757822239622E-3</v>
      </c>
      <c r="O399" s="4" t="str">
        <f>IF(Table1[[#This Row],[AAPL.Close]] &gt; Table1[[#This Row],[AAPL.Open]], "Up", "Down")</f>
        <v>Down</v>
      </c>
      <c r="P399" s="2" t="s">
        <v>11</v>
      </c>
    </row>
    <row r="400" spans="1:16" x14ac:dyDescent="0.35">
      <c r="A400" s="3">
        <v>42305</v>
      </c>
      <c r="B400" s="2" t="str">
        <f>TEXT(Table1[[#This Row],[Date]],"mmm")</f>
        <v>Oct</v>
      </c>
      <c r="C400" s="1">
        <f>YEAR(Table1[[#This Row],[Date]])</f>
        <v>2015</v>
      </c>
      <c r="D400" s="5">
        <v>116.93</v>
      </c>
      <c r="E400" s="5">
        <v>119.300003</v>
      </c>
      <c r="F400" s="5">
        <v>116.05999799999999</v>
      </c>
      <c r="G400" s="5">
        <v>119.269997</v>
      </c>
      <c r="H400" s="1">
        <v>85551400</v>
      </c>
      <c r="I400">
        <v>115.67527200000001</v>
      </c>
      <c r="J400">
        <v>107.0023178</v>
      </c>
      <c r="K400">
        <v>112.4404998</v>
      </c>
      <c r="L400">
        <v>117.8786819</v>
      </c>
      <c r="M400" s="5">
        <f>Table1[[#This Row],[AAPL.Close]] -Table1[[#This Row],[AAPL.Open]]</f>
        <v>2.3399969999999968</v>
      </c>
      <c r="N400" s="4">
        <f>(Table1[[#This Row],[AAPL.Close]] - Table1[[#This Row],[AAPL.Open]]) /Table1[[#This Row],[AAPL.Open]]</f>
        <v>2.0011947318908721E-2</v>
      </c>
      <c r="O400" s="4" t="str">
        <f>IF(Table1[[#This Row],[AAPL.Close]] &gt; Table1[[#This Row],[AAPL.Open]], "Up", "Down")</f>
        <v>Up</v>
      </c>
      <c r="P400" s="2" t="s">
        <v>10</v>
      </c>
    </row>
    <row r="401" spans="1:16" x14ac:dyDescent="0.35">
      <c r="A401" s="3">
        <v>42306</v>
      </c>
      <c r="B401" s="2" t="str">
        <f>TEXT(Table1[[#This Row],[Date]],"mmm")</f>
        <v>Oct</v>
      </c>
      <c r="C401" s="1">
        <f>YEAR(Table1[[#This Row],[Date]])</f>
        <v>2015</v>
      </c>
      <c r="D401" s="5">
        <v>118.699997</v>
      </c>
      <c r="E401" s="5">
        <v>120.69000200000001</v>
      </c>
      <c r="F401" s="5">
        <v>118.269997</v>
      </c>
      <c r="G401" s="5">
        <v>120.529999</v>
      </c>
      <c r="H401" s="1">
        <v>51227300</v>
      </c>
      <c r="I401">
        <v>116.897299</v>
      </c>
      <c r="J401">
        <v>106.9330458</v>
      </c>
      <c r="K401">
        <v>112.99016640000001</v>
      </c>
      <c r="L401">
        <v>119.047287</v>
      </c>
      <c r="M401" s="5">
        <f>Table1[[#This Row],[AAPL.Close]] -Table1[[#This Row],[AAPL.Open]]</f>
        <v>1.8300020000000075</v>
      </c>
      <c r="N401" s="4">
        <f>(Table1[[#This Row],[AAPL.Close]] - Table1[[#This Row],[AAPL.Open]]) /Table1[[#This Row],[AAPL.Open]]</f>
        <v>1.5417034930506422E-2</v>
      </c>
      <c r="O401" s="4" t="str">
        <f>IF(Table1[[#This Row],[AAPL.Close]] &gt; Table1[[#This Row],[AAPL.Open]], "Up", "Down")</f>
        <v>Up</v>
      </c>
      <c r="P401" s="2" t="s">
        <v>10</v>
      </c>
    </row>
    <row r="402" spans="1:16" x14ac:dyDescent="0.35">
      <c r="A402" s="3">
        <v>42307</v>
      </c>
      <c r="B402" s="2" t="str">
        <f>TEXT(Table1[[#This Row],[Date]],"mmm")</f>
        <v>Oct</v>
      </c>
      <c r="C402" s="1">
        <f>YEAR(Table1[[#This Row],[Date]])</f>
        <v>2015</v>
      </c>
      <c r="D402" s="5">
        <v>120.989998</v>
      </c>
      <c r="E402" s="5">
        <v>121.220001</v>
      </c>
      <c r="F402" s="5">
        <v>119.449997</v>
      </c>
      <c r="G402" s="5">
        <v>119.5</v>
      </c>
      <c r="H402" s="1">
        <v>49365300</v>
      </c>
      <c r="I402">
        <v>115.898343</v>
      </c>
      <c r="J402">
        <v>106.9261151</v>
      </c>
      <c r="K402">
        <v>113.5106663</v>
      </c>
      <c r="L402">
        <v>120.0952176</v>
      </c>
      <c r="M402" s="5">
        <f>Table1[[#This Row],[AAPL.Close]] -Table1[[#This Row],[AAPL.Open]]</f>
        <v>-1.4899979999999999</v>
      </c>
      <c r="N402" s="4">
        <f>(Table1[[#This Row],[AAPL.Close]] - Table1[[#This Row],[AAPL.Open]]) /Table1[[#This Row],[AAPL.Open]]</f>
        <v>-1.2315051034218547E-2</v>
      </c>
      <c r="O402" s="4" t="str">
        <f>IF(Table1[[#This Row],[AAPL.Close]] &gt; Table1[[#This Row],[AAPL.Open]], "Up", "Down")</f>
        <v>Down</v>
      </c>
      <c r="P402" s="2" t="s">
        <v>11</v>
      </c>
    </row>
    <row r="403" spans="1:16" x14ac:dyDescent="0.35">
      <c r="A403" s="3">
        <v>42646</v>
      </c>
      <c r="B403" s="2" t="str">
        <f>TEXT(Table1[[#This Row],[Date]],"mmm")</f>
        <v>Oct</v>
      </c>
      <c r="C403" s="1">
        <f>YEAR(Table1[[#This Row],[Date]])</f>
        <v>2016</v>
      </c>
      <c r="D403" s="5">
        <v>112.709999</v>
      </c>
      <c r="E403" s="5">
        <v>113.050003</v>
      </c>
      <c r="F403" s="5">
        <v>112.279999</v>
      </c>
      <c r="G403" s="5">
        <v>112.519997</v>
      </c>
      <c r="H403" s="1">
        <v>21701800</v>
      </c>
      <c r="I403">
        <v>111.461992</v>
      </c>
      <c r="J403">
        <v>104.4192999</v>
      </c>
      <c r="K403">
        <v>111.2793333</v>
      </c>
      <c r="L403">
        <v>118.1393668</v>
      </c>
      <c r="M403" s="5">
        <f>Table1[[#This Row],[AAPL.Close]] -Table1[[#This Row],[AAPL.Open]]</f>
        <v>-0.19000199999999268</v>
      </c>
      <c r="N403" s="4">
        <f>(Table1[[#This Row],[AAPL.Close]] - Table1[[#This Row],[AAPL.Open]]) /Table1[[#This Row],[AAPL.Open]]</f>
        <v>-1.6857599297822076E-3</v>
      </c>
      <c r="O403" s="4" t="str">
        <f>IF(Table1[[#This Row],[AAPL.Close]] &gt; Table1[[#This Row],[AAPL.Open]], "Up", "Down")</f>
        <v>Down</v>
      </c>
      <c r="P403" s="2" t="s">
        <v>11</v>
      </c>
    </row>
    <row r="404" spans="1:16" x14ac:dyDescent="0.35">
      <c r="A404" s="3">
        <v>42647</v>
      </c>
      <c r="B404" s="2" t="str">
        <f>TEXT(Table1[[#This Row],[Date]],"mmm")</f>
        <v>Oct</v>
      </c>
      <c r="C404" s="1">
        <f>YEAR(Table1[[#This Row],[Date]])</f>
        <v>2016</v>
      </c>
      <c r="D404" s="5">
        <v>113.05999799999999</v>
      </c>
      <c r="E404" s="5">
        <v>114.30999799999999</v>
      </c>
      <c r="F404" s="5">
        <v>112.629997</v>
      </c>
      <c r="G404" s="5">
        <v>113</v>
      </c>
      <c r="H404" s="1">
        <v>29736800</v>
      </c>
      <c r="I404">
        <v>111.937482</v>
      </c>
      <c r="J404">
        <v>104.8287959</v>
      </c>
      <c r="K404">
        <v>111.5531666</v>
      </c>
      <c r="L404">
        <v>118.2775372</v>
      </c>
      <c r="M404" s="5">
        <f>Table1[[#This Row],[AAPL.Close]] -Table1[[#This Row],[AAPL.Open]]</f>
        <v>-5.9997999999993112E-2</v>
      </c>
      <c r="N404" s="4">
        <f>(Table1[[#This Row],[AAPL.Close]] - Table1[[#This Row],[AAPL.Open]]) /Table1[[#This Row],[AAPL.Open]]</f>
        <v>-5.3067398780595341E-4</v>
      </c>
      <c r="O404" s="4" t="str">
        <f>IF(Table1[[#This Row],[AAPL.Close]] &gt; Table1[[#This Row],[AAPL.Open]], "Up", "Down")</f>
        <v>Down</v>
      </c>
      <c r="P404" s="2" t="s">
        <v>11</v>
      </c>
    </row>
    <row r="405" spans="1:16" x14ac:dyDescent="0.35">
      <c r="A405" s="3">
        <v>42648</v>
      </c>
      <c r="B405" s="2" t="str">
        <f>TEXT(Table1[[#This Row],[Date]],"mmm")</f>
        <v>Oct</v>
      </c>
      <c r="C405" s="1">
        <f>YEAR(Table1[[#This Row],[Date]])</f>
        <v>2016</v>
      </c>
      <c r="D405" s="5">
        <v>113.400002</v>
      </c>
      <c r="E405" s="5">
        <v>113.660004</v>
      </c>
      <c r="F405" s="5">
        <v>112.69000200000001</v>
      </c>
      <c r="G405" s="5">
        <v>113.050003</v>
      </c>
      <c r="H405" s="1">
        <v>21453100</v>
      </c>
      <c r="I405">
        <v>111.987015</v>
      </c>
      <c r="J405">
        <v>105.2474203</v>
      </c>
      <c r="K405">
        <v>111.80666669999999</v>
      </c>
      <c r="L405">
        <v>118.36591300000001</v>
      </c>
      <c r="M405" s="5">
        <f>Table1[[#This Row],[AAPL.Close]] -Table1[[#This Row],[AAPL.Open]]</f>
        <v>-0.34999899999999684</v>
      </c>
      <c r="N405" s="4">
        <f>(Table1[[#This Row],[AAPL.Close]] - Table1[[#This Row],[AAPL.Open]]) /Table1[[#This Row],[AAPL.Open]]</f>
        <v>-3.0864108803101858E-3</v>
      </c>
      <c r="O405" s="4" t="str">
        <f>IF(Table1[[#This Row],[AAPL.Close]] &gt; Table1[[#This Row],[AAPL.Open]], "Up", "Down")</f>
        <v>Down</v>
      </c>
      <c r="P405" s="2" t="s">
        <v>11</v>
      </c>
    </row>
    <row r="406" spans="1:16" x14ac:dyDescent="0.35">
      <c r="A406" s="3">
        <v>42649</v>
      </c>
      <c r="B406" s="2" t="str">
        <f>TEXT(Table1[[#This Row],[Date]],"mmm")</f>
        <v>Oct</v>
      </c>
      <c r="C406" s="1">
        <f>YEAR(Table1[[#This Row],[Date]])</f>
        <v>2016</v>
      </c>
      <c r="D406" s="5">
        <v>113.699997</v>
      </c>
      <c r="E406" s="5">
        <v>114.339996</v>
      </c>
      <c r="F406" s="5">
        <v>113.129997</v>
      </c>
      <c r="G406" s="5">
        <v>113.889999</v>
      </c>
      <c r="H406" s="1">
        <v>28779300</v>
      </c>
      <c r="I406">
        <v>112.819113</v>
      </c>
      <c r="J406">
        <v>106.1554048</v>
      </c>
      <c r="K406">
        <v>112.1955</v>
      </c>
      <c r="L406">
        <v>118.23559520000001</v>
      </c>
      <c r="M406" s="5">
        <f>Table1[[#This Row],[AAPL.Close]] -Table1[[#This Row],[AAPL.Open]]</f>
        <v>0.19000200000000689</v>
      </c>
      <c r="N406" s="4">
        <f>(Table1[[#This Row],[AAPL.Close]] - Table1[[#This Row],[AAPL.Open]]) /Table1[[#This Row],[AAPL.Open]]</f>
        <v>1.6710818382871804E-3</v>
      </c>
      <c r="O406" s="4" t="str">
        <f>IF(Table1[[#This Row],[AAPL.Close]] &gt; Table1[[#This Row],[AAPL.Open]], "Up", "Down")</f>
        <v>Up</v>
      </c>
      <c r="P406" s="2" t="s">
        <v>10</v>
      </c>
    </row>
    <row r="407" spans="1:16" x14ac:dyDescent="0.35">
      <c r="A407" s="3">
        <v>42650</v>
      </c>
      <c r="B407" s="2" t="str">
        <f>TEXT(Table1[[#This Row],[Date]],"mmm")</f>
        <v>Oct</v>
      </c>
      <c r="C407" s="1">
        <f>YEAR(Table1[[#This Row],[Date]])</f>
        <v>2016</v>
      </c>
      <c r="D407" s="5">
        <v>114.30999799999999</v>
      </c>
      <c r="E407" s="5">
        <v>114.55999799999999</v>
      </c>
      <c r="F407" s="5">
        <v>113.510002</v>
      </c>
      <c r="G407" s="5">
        <v>114.05999799999999</v>
      </c>
      <c r="H407" s="1">
        <v>24358400</v>
      </c>
      <c r="I407">
        <v>112.98751300000001</v>
      </c>
      <c r="J407">
        <v>107.9334949</v>
      </c>
      <c r="K407">
        <v>112.69799999999999</v>
      </c>
      <c r="L407">
        <v>117.4625052</v>
      </c>
      <c r="M407" s="5">
        <f>Table1[[#This Row],[AAPL.Close]] -Table1[[#This Row],[AAPL.Open]]</f>
        <v>-0.25</v>
      </c>
      <c r="N407" s="4">
        <f>(Table1[[#This Row],[AAPL.Close]] - Table1[[#This Row],[AAPL.Open]]) /Table1[[#This Row],[AAPL.Open]]</f>
        <v>-2.1870352932732971E-3</v>
      </c>
      <c r="O407" s="4" t="str">
        <f>IF(Table1[[#This Row],[AAPL.Close]] &gt; Table1[[#This Row],[AAPL.Open]], "Up", "Down")</f>
        <v>Down</v>
      </c>
      <c r="P407" s="2" t="s">
        <v>11</v>
      </c>
    </row>
    <row r="408" spans="1:16" x14ac:dyDescent="0.35">
      <c r="A408" s="3">
        <v>42653</v>
      </c>
      <c r="B408" s="2" t="str">
        <f>TEXT(Table1[[#This Row],[Date]],"mmm")</f>
        <v>Oct</v>
      </c>
      <c r="C408" s="1">
        <f>YEAR(Table1[[#This Row],[Date]])</f>
        <v>2016</v>
      </c>
      <c r="D408" s="5">
        <v>115.019997</v>
      </c>
      <c r="E408" s="5">
        <v>116.75</v>
      </c>
      <c r="F408" s="5">
        <v>114.720001</v>
      </c>
      <c r="G408" s="5">
        <v>116.050003</v>
      </c>
      <c r="H408" s="1">
        <v>36236000</v>
      </c>
      <c r="I408">
        <v>114.95880699999999</v>
      </c>
      <c r="J408">
        <v>110.0729851</v>
      </c>
      <c r="K408">
        <v>113.2618334</v>
      </c>
      <c r="L408">
        <v>116.4506817</v>
      </c>
      <c r="M408" s="5">
        <f>Table1[[#This Row],[AAPL.Close]] -Table1[[#This Row],[AAPL.Open]]</f>
        <v>1.0300060000000002</v>
      </c>
      <c r="N408" s="4">
        <f>(Table1[[#This Row],[AAPL.Close]] - Table1[[#This Row],[AAPL.Open]]) /Table1[[#This Row],[AAPL.Open]]</f>
        <v>8.9550167524347982E-3</v>
      </c>
      <c r="O408" s="4" t="str">
        <f>IF(Table1[[#This Row],[AAPL.Close]] &gt; Table1[[#This Row],[AAPL.Open]], "Up", "Down")</f>
        <v>Up</v>
      </c>
      <c r="P408" s="2" t="s">
        <v>10</v>
      </c>
    </row>
    <row r="409" spans="1:16" x14ac:dyDescent="0.35">
      <c r="A409" s="3">
        <v>42654</v>
      </c>
      <c r="B409" s="2" t="str">
        <f>TEXT(Table1[[#This Row],[Date]],"mmm")</f>
        <v>Oct</v>
      </c>
      <c r="C409" s="1">
        <f>YEAR(Table1[[#This Row],[Date]])</f>
        <v>2016</v>
      </c>
      <c r="D409" s="5">
        <v>117.699997</v>
      </c>
      <c r="E409" s="5">
        <v>118.69000200000001</v>
      </c>
      <c r="F409" s="5">
        <v>116.199997</v>
      </c>
      <c r="G409" s="5">
        <v>116.300003</v>
      </c>
      <c r="H409" s="1">
        <v>64041000</v>
      </c>
      <c r="I409">
        <v>115.206456</v>
      </c>
      <c r="J409">
        <v>111.1298038</v>
      </c>
      <c r="K409">
        <v>113.7153335</v>
      </c>
      <c r="L409">
        <v>116.30086319999999</v>
      </c>
      <c r="M409" s="5">
        <f>Table1[[#This Row],[AAPL.Close]] -Table1[[#This Row],[AAPL.Open]]</f>
        <v>-1.3999939999999924</v>
      </c>
      <c r="N409" s="4">
        <f>(Table1[[#This Row],[AAPL.Close]] - Table1[[#This Row],[AAPL.Open]]) /Table1[[#This Row],[AAPL.Open]]</f>
        <v>-1.1894596734781502E-2</v>
      </c>
      <c r="O409" s="4" t="str">
        <f>IF(Table1[[#This Row],[AAPL.Close]] &gt; Table1[[#This Row],[AAPL.Open]], "Up", "Down")</f>
        <v>Down</v>
      </c>
      <c r="P409" s="2" t="s">
        <v>11</v>
      </c>
    </row>
    <row r="410" spans="1:16" x14ac:dyDescent="0.35">
      <c r="A410" s="3">
        <v>42655</v>
      </c>
      <c r="B410" s="2" t="str">
        <f>TEXT(Table1[[#This Row],[Date]],"mmm")</f>
        <v>Oct</v>
      </c>
      <c r="C410" s="1">
        <f>YEAR(Table1[[#This Row],[Date]])</f>
        <v>2016</v>
      </c>
      <c r="D410" s="5">
        <v>117.349998</v>
      </c>
      <c r="E410" s="5">
        <v>117.980003</v>
      </c>
      <c r="F410" s="5">
        <v>116.75</v>
      </c>
      <c r="G410" s="5">
        <v>117.339996</v>
      </c>
      <c r="H410" s="1">
        <v>37586800</v>
      </c>
      <c r="I410">
        <v>116.23667</v>
      </c>
      <c r="J410">
        <v>111.2667577</v>
      </c>
      <c r="K410">
        <v>114.0265003</v>
      </c>
      <c r="L410">
        <v>116.7862428</v>
      </c>
      <c r="M410" s="5">
        <f>Table1[[#This Row],[AAPL.Close]] -Table1[[#This Row],[AAPL.Open]]</f>
        <v>-1.0002000000000066E-2</v>
      </c>
      <c r="N410" s="4">
        <f>(Table1[[#This Row],[AAPL.Close]] - Table1[[#This Row],[AAPL.Open]]) /Table1[[#This Row],[AAPL.Open]]</f>
        <v>-8.5232212786233417E-5</v>
      </c>
      <c r="O410" s="4" t="str">
        <f>IF(Table1[[#This Row],[AAPL.Close]] &gt; Table1[[#This Row],[AAPL.Open]], "Up", "Down")</f>
        <v>Down</v>
      </c>
      <c r="P410" s="2" t="s">
        <v>11</v>
      </c>
    </row>
    <row r="411" spans="1:16" x14ac:dyDescent="0.35">
      <c r="A411" s="3">
        <v>42656</v>
      </c>
      <c r="B411" s="2" t="str">
        <f>TEXT(Table1[[#This Row],[Date]],"mmm")</f>
        <v>Oct</v>
      </c>
      <c r="C411" s="1">
        <f>YEAR(Table1[[#This Row],[Date]])</f>
        <v>2016</v>
      </c>
      <c r="D411" s="5">
        <v>116.790001</v>
      </c>
      <c r="E411" s="5">
        <v>117.44000200000001</v>
      </c>
      <c r="F411" s="5">
        <v>115.720001</v>
      </c>
      <c r="G411" s="5">
        <v>116.980003</v>
      </c>
      <c r="H411" s="1">
        <v>35192400</v>
      </c>
      <c r="I411">
        <v>115.880062</v>
      </c>
      <c r="J411">
        <v>111.1382638</v>
      </c>
      <c r="K411">
        <v>114.115667</v>
      </c>
      <c r="L411">
        <v>117.0930702</v>
      </c>
      <c r="M411" s="5">
        <f>Table1[[#This Row],[AAPL.Close]] -Table1[[#This Row],[AAPL.Open]]</f>
        <v>0.19000199999999268</v>
      </c>
      <c r="N411" s="4">
        <f>(Table1[[#This Row],[AAPL.Close]] - Table1[[#This Row],[AAPL.Open]]) /Table1[[#This Row],[AAPL.Open]]</f>
        <v>1.6268687248319543E-3</v>
      </c>
      <c r="O411" s="4" t="str">
        <f>IF(Table1[[#This Row],[AAPL.Close]] &gt; Table1[[#This Row],[AAPL.Open]], "Up", "Down")</f>
        <v>Up</v>
      </c>
      <c r="P411" s="2" t="s">
        <v>10</v>
      </c>
    </row>
    <row r="412" spans="1:16" x14ac:dyDescent="0.35">
      <c r="A412" s="3">
        <v>42657</v>
      </c>
      <c r="B412" s="2" t="str">
        <f>TEXT(Table1[[#This Row],[Date]],"mmm")</f>
        <v>Oct</v>
      </c>
      <c r="C412" s="1">
        <f>YEAR(Table1[[#This Row],[Date]])</f>
        <v>2016</v>
      </c>
      <c r="D412" s="5">
        <v>117.879997</v>
      </c>
      <c r="E412" s="5">
        <v>118.16999800000001</v>
      </c>
      <c r="F412" s="5">
        <v>117.129997</v>
      </c>
      <c r="G412" s="5">
        <v>117.629997</v>
      </c>
      <c r="H412" s="1">
        <v>35652200</v>
      </c>
      <c r="I412">
        <v>116.523945</v>
      </c>
      <c r="J412">
        <v>110.9119196</v>
      </c>
      <c r="K412">
        <v>114.2463336</v>
      </c>
      <c r="L412">
        <v>117.5807476</v>
      </c>
      <c r="M412" s="5">
        <f>Table1[[#This Row],[AAPL.Close]] -Table1[[#This Row],[AAPL.Open]]</f>
        <v>-0.25</v>
      </c>
      <c r="N412" s="4">
        <f>(Table1[[#This Row],[AAPL.Close]] - Table1[[#This Row],[AAPL.Open]]) /Table1[[#This Row],[AAPL.Open]]</f>
        <v>-2.120800868361067E-3</v>
      </c>
      <c r="O412" s="4" t="str">
        <f>IF(Table1[[#This Row],[AAPL.Close]] &gt; Table1[[#This Row],[AAPL.Open]], "Up", "Down")</f>
        <v>Down</v>
      </c>
      <c r="P412" s="2" t="s">
        <v>11</v>
      </c>
    </row>
    <row r="413" spans="1:16" x14ac:dyDescent="0.35">
      <c r="A413" s="3">
        <v>42660</v>
      </c>
      <c r="B413" s="2" t="str">
        <f>TEXT(Table1[[#This Row],[Date]],"mmm")</f>
        <v>Oct</v>
      </c>
      <c r="C413" s="1">
        <f>YEAR(Table1[[#This Row],[Date]])</f>
        <v>2016</v>
      </c>
      <c r="D413" s="5">
        <v>117.33000199999999</v>
      </c>
      <c r="E413" s="5">
        <v>117.839996</v>
      </c>
      <c r="F413" s="5">
        <v>116.779999</v>
      </c>
      <c r="G413" s="5">
        <v>117.550003</v>
      </c>
      <c r="H413" s="1">
        <v>23624900</v>
      </c>
      <c r="I413">
        <v>116.444703</v>
      </c>
      <c r="J413">
        <v>110.7934513</v>
      </c>
      <c r="K413">
        <v>114.3990002</v>
      </c>
      <c r="L413">
        <v>118.00454910000001</v>
      </c>
      <c r="M413" s="5">
        <f>Table1[[#This Row],[AAPL.Close]] -Table1[[#This Row],[AAPL.Open]]</f>
        <v>0.22000100000001055</v>
      </c>
      <c r="N413" s="4">
        <f>(Table1[[#This Row],[AAPL.Close]] - Table1[[#This Row],[AAPL.Open]]) /Table1[[#This Row],[AAPL.Open]]</f>
        <v>1.8750617595660703E-3</v>
      </c>
      <c r="O413" s="4" t="str">
        <f>IF(Table1[[#This Row],[AAPL.Close]] &gt; Table1[[#This Row],[AAPL.Open]], "Up", "Down")</f>
        <v>Up</v>
      </c>
      <c r="P413" s="2" t="s">
        <v>10</v>
      </c>
    </row>
    <row r="414" spans="1:16" x14ac:dyDescent="0.35">
      <c r="A414" s="3">
        <v>42661</v>
      </c>
      <c r="B414" s="2" t="str">
        <f>TEXT(Table1[[#This Row],[Date]],"mmm")</f>
        <v>Oct</v>
      </c>
      <c r="C414" s="1">
        <f>YEAR(Table1[[#This Row],[Date]])</f>
        <v>2016</v>
      </c>
      <c r="D414" s="5">
        <v>118.18</v>
      </c>
      <c r="E414" s="5">
        <v>118.209999</v>
      </c>
      <c r="F414" s="5">
        <v>117.449997</v>
      </c>
      <c r="G414" s="5">
        <v>117.470001</v>
      </c>
      <c r="H414" s="1">
        <v>24553500</v>
      </c>
      <c r="I414">
        <v>116.365453</v>
      </c>
      <c r="J414">
        <v>110.76649209999999</v>
      </c>
      <c r="K414">
        <v>114.6145001</v>
      </c>
      <c r="L414">
        <v>118.462508</v>
      </c>
      <c r="M414" s="5">
        <f>Table1[[#This Row],[AAPL.Close]] -Table1[[#This Row],[AAPL.Open]]</f>
        <v>-0.70999900000001048</v>
      </c>
      <c r="N414" s="4">
        <f>(Table1[[#This Row],[AAPL.Close]] - Table1[[#This Row],[AAPL.Open]]) /Table1[[#This Row],[AAPL.Open]]</f>
        <v>-6.0077762734812188E-3</v>
      </c>
      <c r="O414" s="4" t="str">
        <f>IF(Table1[[#This Row],[AAPL.Close]] &gt; Table1[[#This Row],[AAPL.Open]], "Up", "Down")</f>
        <v>Down</v>
      </c>
      <c r="P414" s="2" t="s">
        <v>11</v>
      </c>
    </row>
    <row r="415" spans="1:16" x14ac:dyDescent="0.35">
      <c r="A415" s="3">
        <v>42662</v>
      </c>
      <c r="B415" s="2" t="str">
        <f>TEXT(Table1[[#This Row],[Date]],"mmm")</f>
        <v>Oct</v>
      </c>
      <c r="C415" s="1">
        <f>YEAR(Table1[[#This Row],[Date]])</f>
        <v>2016</v>
      </c>
      <c r="D415" s="5">
        <v>117.25</v>
      </c>
      <c r="E415" s="5">
        <v>117.760002</v>
      </c>
      <c r="F415" s="5">
        <v>113.800003</v>
      </c>
      <c r="G415" s="5">
        <v>117.120003</v>
      </c>
      <c r="H415" s="1">
        <v>20034600</v>
      </c>
      <c r="I415">
        <v>116.018745</v>
      </c>
      <c r="J415">
        <v>110.8980004</v>
      </c>
      <c r="K415">
        <v>114.75950020000001</v>
      </c>
      <c r="L415">
        <v>118.6209999</v>
      </c>
      <c r="M415" s="5">
        <f>Table1[[#This Row],[AAPL.Close]] -Table1[[#This Row],[AAPL.Open]]</f>
        <v>-0.12999700000000303</v>
      </c>
      <c r="N415" s="4">
        <f>(Table1[[#This Row],[AAPL.Close]] - Table1[[#This Row],[AAPL.Open]]) /Table1[[#This Row],[AAPL.Open]]</f>
        <v>-1.1087164179104736E-3</v>
      </c>
      <c r="O415" s="4" t="str">
        <f>IF(Table1[[#This Row],[AAPL.Close]] &gt; Table1[[#This Row],[AAPL.Open]], "Up", "Down")</f>
        <v>Down</v>
      </c>
      <c r="P415" s="2" t="s">
        <v>11</v>
      </c>
    </row>
    <row r="416" spans="1:16" x14ac:dyDescent="0.35">
      <c r="A416" s="3">
        <v>42663</v>
      </c>
      <c r="B416" s="2" t="str">
        <f>TEXT(Table1[[#This Row],[Date]],"mmm")</f>
        <v>Oct</v>
      </c>
      <c r="C416" s="1">
        <f>YEAR(Table1[[#This Row],[Date]])</f>
        <v>2016</v>
      </c>
      <c r="D416" s="5">
        <v>116.860001</v>
      </c>
      <c r="E416" s="5">
        <v>117.379997</v>
      </c>
      <c r="F416" s="5">
        <v>116.33000199999999</v>
      </c>
      <c r="G416" s="5">
        <v>117.05999799999999</v>
      </c>
      <c r="H416" s="1">
        <v>24125800</v>
      </c>
      <c r="I416">
        <v>115.959304</v>
      </c>
      <c r="J416">
        <v>110.90746540000001</v>
      </c>
      <c r="K416">
        <v>114.8796667</v>
      </c>
      <c r="L416">
        <v>118.8518679</v>
      </c>
      <c r="M416" s="5">
        <f>Table1[[#This Row],[AAPL.Close]] -Table1[[#This Row],[AAPL.Open]]</f>
        <v>0.19999699999999621</v>
      </c>
      <c r="N416" s="4">
        <f>(Table1[[#This Row],[AAPL.Close]] - Table1[[#This Row],[AAPL.Open]]) /Table1[[#This Row],[AAPL.Open]]</f>
        <v>1.7114239114202662E-3</v>
      </c>
      <c r="O416" s="4" t="str">
        <f>IF(Table1[[#This Row],[AAPL.Close]] &gt; Table1[[#This Row],[AAPL.Open]], "Up", "Down")</f>
        <v>Up</v>
      </c>
      <c r="P416" s="2" t="s">
        <v>10</v>
      </c>
    </row>
    <row r="417" spans="1:16" x14ac:dyDescent="0.35">
      <c r="A417" s="3">
        <v>42664</v>
      </c>
      <c r="B417" s="2" t="str">
        <f>TEXT(Table1[[#This Row],[Date]],"mmm")</f>
        <v>Oct</v>
      </c>
      <c r="C417" s="1">
        <f>YEAR(Table1[[#This Row],[Date]])</f>
        <v>2016</v>
      </c>
      <c r="D417" s="5">
        <v>116.80999799999999</v>
      </c>
      <c r="E417" s="5">
        <v>116.910004</v>
      </c>
      <c r="F417" s="5">
        <v>116.279999</v>
      </c>
      <c r="G417" s="5">
        <v>116.599998</v>
      </c>
      <c r="H417" s="1">
        <v>23192700</v>
      </c>
      <c r="I417">
        <v>115.503631</v>
      </c>
      <c r="J417">
        <v>111.11586509999999</v>
      </c>
      <c r="K417">
        <v>115.0586667</v>
      </c>
      <c r="L417">
        <v>119.00146820000001</v>
      </c>
      <c r="M417" s="5">
        <f>Table1[[#This Row],[AAPL.Close]] -Table1[[#This Row],[AAPL.Open]]</f>
        <v>-0.20999999999999375</v>
      </c>
      <c r="N417" s="4">
        <f>(Table1[[#This Row],[AAPL.Close]] - Table1[[#This Row],[AAPL.Open]]) /Table1[[#This Row],[AAPL.Open]]</f>
        <v>-1.7977913157741323E-3</v>
      </c>
      <c r="O417" s="4" t="str">
        <f>IF(Table1[[#This Row],[AAPL.Close]] &gt; Table1[[#This Row],[AAPL.Open]], "Up", "Down")</f>
        <v>Down</v>
      </c>
      <c r="P417" s="2" t="s">
        <v>11</v>
      </c>
    </row>
    <row r="418" spans="1:16" x14ac:dyDescent="0.35">
      <c r="A418" s="3">
        <v>42667</v>
      </c>
      <c r="B418" s="2" t="str">
        <f>TEXT(Table1[[#This Row],[Date]],"mmm")</f>
        <v>Oct</v>
      </c>
      <c r="C418" s="1">
        <f>YEAR(Table1[[#This Row],[Date]])</f>
        <v>2016</v>
      </c>
      <c r="D418" s="5">
        <v>117.099998</v>
      </c>
      <c r="E418" s="5">
        <v>117.739998</v>
      </c>
      <c r="F418" s="5">
        <v>117</v>
      </c>
      <c r="G418" s="5">
        <v>117.650002</v>
      </c>
      <c r="H418" s="1">
        <v>23538700</v>
      </c>
      <c r="I418">
        <v>116.543761</v>
      </c>
      <c r="J418">
        <v>111.3946042</v>
      </c>
      <c r="K418">
        <v>115.3015</v>
      </c>
      <c r="L418">
        <v>119.20839580000001</v>
      </c>
      <c r="M418" s="5">
        <f>Table1[[#This Row],[AAPL.Close]] -Table1[[#This Row],[AAPL.Open]]</f>
        <v>0.55000400000000127</v>
      </c>
      <c r="N418" s="4">
        <f>(Table1[[#This Row],[AAPL.Close]] - Table1[[#This Row],[AAPL.Open]]) /Table1[[#This Row],[AAPL.Open]]</f>
        <v>4.6968745464880477E-3</v>
      </c>
      <c r="O418" s="4" t="str">
        <f>IF(Table1[[#This Row],[AAPL.Close]] &gt; Table1[[#This Row],[AAPL.Open]], "Up", "Down")</f>
        <v>Up</v>
      </c>
      <c r="P418" s="2" t="s">
        <v>10</v>
      </c>
    </row>
    <row r="419" spans="1:16" x14ac:dyDescent="0.35">
      <c r="A419" s="3">
        <v>42668</v>
      </c>
      <c r="B419" s="2" t="str">
        <f>TEXT(Table1[[#This Row],[Date]],"mmm")</f>
        <v>Oct</v>
      </c>
      <c r="C419" s="1">
        <f>YEAR(Table1[[#This Row],[Date]])</f>
        <v>2016</v>
      </c>
      <c r="D419" s="5">
        <v>117.949997</v>
      </c>
      <c r="E419" s="5">
        <v>118.360001</v>
      </c>
      <c r="F419" s="5">
        <v>117.30999799999999</v>
      </c>
      <c r="G419" s="5">
        <v>118.25</v>
      </c>
      <c r="H419" s="1">
        <v>48129000</v>
      </c>
      <c r="I419">
        <v>117.13811800000001</v>
      </c>
      <c r="J419">
        <v>111.6517095</v>
      </c>
      <c r="K419">
        <v>115.5566668</v>
      </c>
      <c r="L419">
        <v>119.46162409999999</v>
      </c>
      <c r="M419" s="5">
        <f>Table1[[#This Row],[AAPL.Close]] -Table1[[#This Row],[AAPL.Open]]</f>
        <v>0.30000300000000379</v>
      </c>
      <c r="N419" s="4">
        <f>(Table1[[#This Row],[AAPL.Close]] - Table1[[#This Row],[AAPL.Open]]) /Table1[[#This Row],[AAPL.Open]]</f>
        <v>2.5434761138654698E-3</v>
      </c>
      <c r="O419" s="4" t="str">
        <f>IF(Table1[[#This Row],[AAPL.Close]] &gt; Table1[[#This Row],[AAPL.Open]], "Up", "Down")</f>
        <v>Up</v>
      </c>
      <c r="P419" s="2" t="s">
        <v>10</v>
      </c>
    </row>
    <row r="420" spans="1:16" x14ac:dyDescent="0.35">
      <c r="A420" s="3">
        <v>42669</v>
      </c>
      <c r="B420" s="2" t="str">
        <f>TEXT(Table1[[#This Row],[Date]],"mmm")</f>
        <v>Oct</v>
      </c>
      <c r="C420" s="1">
        <f>YEAR(Table1[[#This Row],[Date]])</f>
        <v>2016</v>
      </c>
      <c r="D420" s="5">
        <v>114.30999799999999</v>
      </c>
      <c r="E420" s="5">
        <v>115.699997</v>
      </c>
      <c r="F420" s="5">
        <v>113.30999799999999</v>
      </c>
      <c r="G420" s="5">
        <v>115.589996</v>
      </c>
      <c r="H420" s="1">
        <v>66134200</v>
      </c>
      <c r="I420">
        <v>114.503125</v>
      </c>
      <c r="J420">
        <v>111.7453165</v>
      </c>
      <c r="K420">
        <v>115.5996667</v>
      </c>
      <c r="L420">
        <v>119.4540169</v>
      </c>
      <c r="M420" s="5">
        <f>Table1[[#This Row],[AAPL.Close]] -Table1[[#This Row],[AAPL.Open]]</f>
        <v>1.2799980000000062</v>
      </c>
      <c r="N420" s="4">
        <f>(Table1[[#This Row],[AAPL.Close]] - Table1[[#This Row],[AAPL.Open]]) /Table1[[#This Row],[AAPL.Open]]</f>
        <v>1.119760320527699E-2</v>
      </c>
      <c r="O420" s="4" t="str">
        <f>IF(Table1[[#This Row],[AAPL.Close]] &gt; Table1[[#This Row],[AAPL.Open]], "Up", "Down")</f>
        <v>Up</v>
      </c>
      <c r="P420" s="2" t="s">
        <v>10</v>
      </c>
    </row>
    <row r="421" spans="1:16" x14ac:dyDescent="0.35">
      <c r="A421" s="3">
        <v>42670</v>
      </c>
      <c r="B421" s="2" t="str">
        <f>TEXT(Table1[[#This Row],[Date]],"mmm")</f>
        <v>Oct</v>
      </c>
      <c r="C421" s="1">
        <f>YEAR(Table1[[#This Row],[Date]])</f>
        <v>2016</v>
      </c>
      <c r="D421" s="5">
        <v>115.389999</v>
      </c>
      <c r="E421" s="5">
        <v>115.860001</v>
      </c>
      <c r="F421" s="5">
        <v>114.099998</v>
      </c>
      <c r="G421" s="5">
        <v>114.480003</v>
      </c>
      <c r="H421" s="1">
        <v>34562000</v>
      </c>
      <c r="I421">
        <v>113.403569</v>
      </c>
      <c r="J421">
        <v>112.0881275</v>
      </c>
      <c r="K421">
        <v>115.7106666</v>
      </c>
      <c r="L421">
        <v>119.3332058</v>
      </c>
      <c r="M421" s="5">
        <f>Table1[[#This Row],[AAPL.Close]] -Table1[[#This Row],[AAPL.Open]]</f>
        <v>-0.90999600000000669</v>
      </c>
      <c r="N421" s="4">
        <f>(Table1[[#This Row],[AAPL.Close]] - Table1[[#This Row],[AAPL.Open]]) /Table1[[#This Row],[AAPL.Open]]</f>
        <v>-7.8862640426923536E-3</v>
      </c>
      <c r="O421" s="4" t="str">
        <f>IF(Table1[[#This Row],[AAPL.Close]] &gt; Table1[[#This Row],[AAPL.Open]], "Up", "Down")</f>
        <v>Down</v>
      </c>
      <c r="P421" s="2" t="s">
        <v>11</v>
      </c>
    </row>
    <row r="422" spans="1:16" x14ac:dyDescent="0.35">
      <c r="A422" s="3">
        <v>42671</v>
      </c>
      <c r="B422" s="2" t="str">
        <f>TEXT(Table1[[#This Row],[Date]],"mmm")</f>
        <v>Oct</v>
      </c>
      <c r="C422" s="1">
        <f>YEAR(Table1[[#This Row],[Date]])</f>
        <v>2016</v>
      </c>
      <c r="D422" s="5">
        <v>113.870003</v>
      </c>
      <c r="E422" s="5">
        <v>115.209999</v>
      </c>
      <c r="F422" s="5">
        <v>113.449997</v>
      </c>
      <c r="G422" s="5">
        <v>113.720001</v>
      </c>
      <c r="H422" s="1">
        <v>37861700</v>
      </c>
      <c r="I422">
        <v>112.650713</v>
      </c>
      <c r="J422">
        <v>112.3390108</v>
      </c>
      <c r="K422">
        <v>115.7799998</v>
      </c>
      <c r="L422">
        <v>119.22098870000001</v>
      </c>
      <c r="M422" s="5">
        <f>Table1[[#This Row],[AAPL.Close]] -Table1[[#This Row],[AAPL.Open]]</f>
        <v>-0.15000200000000063</v>
      </c>
      <c r="N422" s="4">
        <f>(Table1[[#This Row],[AAPL.Close]] - Table1[[#This Row],[AAPL.Open]]) /Table1[[#This Row],[AAPL.Open]]</f>
        <v>-1.3173091775539924E-3</v>
      </c>
      <c r="O422" s="4" t="str">
        <f>IF(Table1[[#This Row],[AAPL.Close]] &gt; Table1[[#This Row],[AAPL.Open]], "Up", "Down")</f>
        <v>Down</v>
      </c>
      <c r="P422" s="2" t="s">
        <v>11</v>
      </c>
    </row>
    <row r="423" spans="1:16" x14ac:dyDescent="0.35">
      <c r="A423" s="3">
        <v>42674</v>
      </c>
      <c r="B423" s="2" t="str">
        <f>TEXT(Table1[[#This Row],[Date]],"mmm")</f>
        <v>Oct</v>
      </c>
      <c r="C423" s="1">
        <f>YEAR(Table1[[#This Row],[Date]])</f>
        <v>2016</v>
      </c>
      <c r="D423" s="5">
        <v>113.650002</v>
      </c>
      <c r="E423" s="5">
        <v>114.230003</v>
      </c>
      <c r="F423" s="5">
        <v>113.199997</v>
      </c>
      <c r="G423" s="5">
        <v>113.540001</v>
      </c>
      <c r="H423" s="1">
        <v>26419400</v>
      </c>
      <c r="I423">
        <v>112.47240600000001</v>
      </c>
      <c r="J423">
        <v>112.55633779999999</v>
      </c>
      <c r="K423">
        <v>115.83199980000001</v>
      </c>
      <c r="L423">
        <v>119.1076618</v>
      </c>
      <c r="M423" s="5">
        <f>Table1[[#This Row],[AAPL.Close]] -Table1[[#This Row],[AAPL.Open]]</f>
        <v>-0.11000099999999691</v>
      </c>
      <c r="N423" s="4">
        <f>(Table1[[#This Row],[AAPL.Close]] - Table1[[#This Row],[AAPL.Open]]) /Table1[[#This Row],[AAPL.Open]]</f>
        <v>-9.6789263584876051E-4</v>
      </c>
      <c r="O423" s="4" t="str">
        <f>IF(Table1[[#This Row],[AAPL.Close]] &gt; Table1[[#This Row],[AAPL.Open]], "Up", "Down")</f>
        <v>Down</v>
      </c>
      <c r="P423" s="2" t="s">
        <v>11</v>
      </c>
    </row>
    <row r="424" spans="1:16" x14ac:dyDescent="0.35">
      <c r="A424" s="3">
        <v>42310</v>
      </c>
      <c r="B424" s="2" t="str">
        <f>TEXT(Table1[[#This Row],[Date]],"mmm")</f>
        <v>Nov</v>
      </c>
      <c r="C424" s="1">
        <f>YEAR(Table1[[#This Row],[Date]])</f>
        <v>2015</v>
      </c>
      <c r="D424" s="5">
        <v>120.800003</v>
      </c>
      <c r="E424" s="5">
        <v>121.360001</v>
      </c>
      <c r="F424" s="5">
        <v>119.610001</v>
      </c>
      <c r="G424" s="5">
        <v>121.18</v>
      </c>
      <c r="H424" s="1">
        <v>32203300</v>
      </c>
      <c r="I424">
        <v>117.527709</v>
      </c>
      <c r="J424">
        <v>106.9021448</v>
      </c>
      <c r="K424">
        <v>114.0261663</v>
      </c>
      <c r="L424">
        <v>121.15018790000001</v>
      </c>
      <c r="M424" s="5">
        <f>Table1[[#This Row],[AAPL.Close]] -Table1[[#This Row],[AAPL.Open]]</f>
        <v>0.37999700000000303</v>
      </c>
      <c r="N424" s="4">
        <f>(Table1[[#This Row],[AAPL.Close]] - Table1[[#This Row],[AAPL.Open]]) /Table1[[#This Row],[AAPL.Open]]</f>
        <v>3.1456704516803946E-3</v>
      </c>
      <c r="O424" s="4" t="str">
        <f>IF(Table1[[#This Row],[AAPL.Close]] &gt; Table1[[#This Row],[AAPL.Open]], "Up", "Down")</f>
        <v>Up</v>
      </c>
      <c r="P424" s="2" t="s">
        <v>10</v>
      </c>
    </row>
    <row r="425" spans="1:16" x14ac:dyDescent="0.35">
      <c r="A425" s="3">
        <v>42311</v>
      </c>
      <c r="B425" s="2" t="str">
        <f>TEXT(Table1[[#This Row],[Date]],"mmm")</f>
        <v>Nov</v>
      </c>
      <c r="C425" s="1">
        <f>YEAR(Table1[[#This Row],[Date]])</f>
        <v>2015</v>
      </c>
      <c r="D425" s="5">
        <v>120.790001</v>
      </c>
      <c r="E425" s="5">
        <v>123.489998</v>
      </c>
      <c r="F425" s="5">
        <v>120.699997</v>
      </c>
      <c r="G425" s="5">
        <v>122.57</v>
      </c>
      <c r="H425" s="1">
        <v>45519000</v>
      </c>
      <c r="I425">
        <v>118.875815</v>
      </c>
      <c r="J425">
        <v>106.77491999999999</v>
      </c>
      <c r="K425">
        <v>114.59183299999999</v>
      </c>
      <c r="L425">
        <v>122.4087461</v>
      </c>
      <c r="M425" s="5">
        <f>Table1[[#This Row],[AAPL.Close]] -Table1[[#This Row],[AAPL.Open]]</f>
        <v>1.7799989999999895</v>
      </c>
      <c r="N425" s="4">
        <f>(Table1[[#This Row],[AAPL.Close]] - Table1[[#This Row],[AAPL.Open]]) /Table1[[#This Row],[AAPL.Open]]</f>
        <v>1.4736310830893936E-2</v>
      </c>
      <c r="O425" s="4" t="str">
        <f>IF(Table1[[#This Row],[AAPL.Close]] &gt; Table1[[#This Row],[AAPL.Open]], "Up", "Down")</f>
        <v>Up</v>
      </c>
      <c r="P425" s="2" t="s">
        <v>10</v>
      </c>
    </row>
    <row r="426" spans="1:16" x14ac:dyDescent="0.35">
      <c r="A426" s="3">
        <v>42312</v>
      </c>
      <c r="B426" s="2" t="str">
        <f>TEXT(Table1[[#This Row],[Date]],"mmm")</f>
        <v>Nov</v>
      </c>
      <c r="C426" s="1">
        <f>YEAR(Table1[[#This Row],[Date]])</f>
        <v>2015</v>
      </c>
      <c r="D426" s="5">
        <v>123.129997</v>
      </c>
      <c r="E426" s="5">
        <v>123.82</v>
      </c>
      <c r="F426" s="5">
        <v>121.620003</v>
      </c>
      <c r="G426" s="5">
        <v>122</v>
      </c>
      <c r="H426" s="1">
        <v>44886100</v>
      </c>
      <c r="I426">
        <v>118.32299500000001</v>
      </c>
      <c r="J426">
        <v>106.8736711</v>
      </c>
      <c r="K426">
        <v>115.1831664</v>
      </c>
      <c r="L426">
        <v>123.4926617</v>
      </c>
      <c r="M426" s="5">
        <f>Table1[[#This Row],[AAPL.Close]] -Table1[[#This Row],[AAPL.Open]]</f>
        <v>-1.129997000000003</v>
      </c>
      <c r="N426" s="4">
        <f>(Table1[[#This Row],[AAPL.Close]] - Table1[[#This Row],[AAPL.Open]]) /Table1[[#This Row],[AAPL.Open]]</f>
        <v>-9.1772681518054698E-3</v>
      </c>
      <c r="O426" s="4" t="str">
        <f>IF(Table1[[#This Row],[AAPL.Close]] &gt; Table1[[#This Row],[AAPL.Open]], "Up", "Down")</f>
        <v>Down</v>
      </c>
      <c r="P426" s="2" t="s">
        <v>11</v>
      </c>
    </row>
    <row r="427" spans="1:16" x14ac:dyDescent="0.35">
      <c r="A427" s="3">
        <v>42313</v>
      </c>
      <c r="B427" s="2" t="str">
        <f>TEXT(Table1[[#This Row],[Date]],"mmm")</f>
        <v>Nov</v>
      </c>
      <c r="C427" s="1">
        <f>YEAR(Table1[[#This Row],[Date]])</f>
        <v>2015</v>
      </c>
      <c r="D427" s="5">
        <v>121.849998</v>
      </c>
      <c r="E427" s="5">
        <v>122.69000200000001</v>
      </c>
      <c r="F427" s="5">
        <v>120.18</v>
      </c>
      <c r="G427" s="5">
        <v>120.91999800000001</v>
      </c>
      <c r="H427" s="1">
        <v>39552700</v>
      </c>
      <c r="I427">
        <v>117.777553</v>
      </c>
      <c r="J427">
        <v>107.5297965</v>
      </c>
      <c r="K427">
        <v>115.7813331</v>
      </c>
      <c r="L427">
        <v>124.0328696</v>
      </c>
      <c r="M427" s="5">
        <f>Table1[[#This Row],[AAPL.Close]] -Table1[[#This Row],[AAPL.Open]]</f>
        <v>-0.92999999999999261</v>
      </c>
      <c r="N427" s="4">
        <f>(Table1[[#This Row],[AAPL.Close]] - Table1[[#This Row],[AAPL.Open]]) /Table1[[#This Row],[AAPL.Open]]</f>
        <v>-7.6323349631896801E-3</v>
      </c>
      <c r="O427" s="4" t="str">
        <f>IF(Table1[[#This Row],[AAPL.Close]] &gt; Table1[[#This Row],[AAPL.Open]], "Up", "Down")</f>
        <v>Down</v>
      </c>
      <c r="P427" s="2" t="s">
        <v>11</v>
      </c>
    </row>
    <row r="428" spans="1:16" x14ac:dyDescent="0.35">
      <c r="A428" s="3">
        <v>42314</v>
      </c>
      <c r="B428" s="2" t="str">
        <f>TEXT(Table1[[#This Row],[Date]],"mmm")</f>
        <v>Nov</v>
      </c>
      <c r="C428" s="1">
        <f>YEAR(Table1[[#This Row],[Date]])</f>
        <v>2015</v>
      </c>
      <c r="D428" s="5">
        <v>121.110001</v>
      </c>
      <c r="E428" s="5">
        <v>121.80999799999999</v>
      </c>
      <c r="F428" s="5">
        <v>120.620003</v>
      </c>
      <c r="G428" s="5">
        <v>121.05999799999999</v>
      </c>
      <c r="H428" s="1">
        <v>33042300</v>
      </c>
      <c r="I428">
        <v>117.91391400000001</v>
      </c>
      <c r="J428">
        <v>107.9749626</v>
      </c>
      <c r="K428">
        <v>116.2746664</v>
      </c>
      <c r="L428">
        <v>124.5743702</v>
      </c>
      <c r="M428" s="5">
        <f>Table1[[#This Row],[AAPL.Close]] -Table1[[#This Row],[AAPL.Open]]</f>
        <v>-5.0003000000003794E-2</v>
      </c>
      <c r="N428" s="4">
        <f>(Table1[[#This Row],[AAPL.Close]] - Table1[[#This Row],[AAPL.Open]]) /Table1[[#This Row],[AAPL.Open]]</f>
        <v>-4.128725917523838E-4</v>
      </c>
      <c r="O428" s="4" t="str">
        <f>IF(Table1[[#This Row],[AAPL.Close]] &gt; Table1[[#This Row],[AAPL.Open]], "Up", "Down")</f>
        <v>Down</v>
      </c>
      <c r="P428" s="2" t="s">
        <v>11</v>
      </c>
    </row>
    <row r="429" spans="1:16" x14ac:dyDescent="0.35">
      <c r="A429" s="3">
        <v>42317</v>
      </c>
      <c r="B429" s="2" t="str">
        <f>TEXT(Table1[[#This Row],[Date]],"mmm")</f>
        <v>Nov</v>
      </c>
      <c r="C429" s="1">
        <f>YEAR(Table1[[#This Row],[Date]])</f>
        <v>2015</v>
      </c>
      <c r="D429" s="5">
        <v>120.959999</v>
      </c>
      <c r="E429" s="5">
        <v>121.80999799999999</v>
      </c>
      <c r="F429" s="5">
        <v>120.050003</v>
      </c>
      <c r="G429" s="5">
        <v>120.57</v>
      </c>
      <c r="H429" s="1">
        <v>33871400</v>
      </c>
      <c r="I429">
        <v>117.43665</v>
      </c>
      <c r="J429">
        <v>108.4461115</v>
      </c>
      <c r="K429">
        <v>116.7186664</v>
      </c>
      <c r="L429">
        <v>124.99122130000001</v>
      </c>
      <c r="M429" s="5">
        <f>Table1[[#This Row],[AAPL.Close]] -Table1[[#This Row],[AAPL.Open]]</f>
        <v>-0.38999900000000309</v>
      </c>
      <c r="N429" s="4">
        <f>(Table1[[#This Row],[AAPL.Close]] - Table1[[#This Row],[AAPL.Open]]) /Table1[[#This Row],[AAPL.Open]]</f>
        <v>-3.2241981086656847E-3</v>
      </c>
      <c r="O429" s="4" t="str">
        <f>IF(Table1[[#This Row],[AAPL.Close]] &gt; Table1[[#This Row],[AAPL.Open]], "Up", "Down")</f>
        <v>Down</v>
      </c>
      <c r="P429" s="2" t="s">
        <v>11</v>
      </c>
    </row>
    <row r="430" spans="1:16" x14ac:dyDescent="0.35">
      <c r="A430" s="3">
        <v>42318</v>
      </c>
      <c r="B430" s="2" t="str">
        <f>TEXT(Table1[[#This Row],[Date]],"mmm")</f>
        <v>Nov</v>
      </c>
      <c r="C430" s="1">
        <f>YEAR(Table1[[#This Row],[Date]])</f>
        <v>2015</v>
      </c>
      <c r="D430" s="5">
        <v>116.900002</v>
      </c>
      <c r="E430" s="5">
        <v>118.07</v>
      </c>
      <c r="F430" s="5">
        <v>116.05999799999999</v>
      </c>
      <c r="G430" s="5">
        <v>116.769997</v>
      </c>
      <c r="H430" s="1">
        <v>59127900</v>
      </c>
      <c r="I430">
        <v>113.735401</v>
      </c>
      <c r="J430">
        <v>109.0474207</v>
      </c>
      <c r="K430">
        <v>116.9849997</v>
      </c>
      <c r="L430">
        <v>124.92257859999999</v>
      </c>
      <c r="M430" s="5">
        <f>Table1[[#This Row],[AAPL.Close]] -Table1[[#This Row],[AAPL.Open]]</f>
        <v>-0.13000499999999704</v>
      </c>
      <c r="N430" s="4">
        <f>(Table1[[#This Row],[AAPL.Close]] - Table1[[#This Row],[AAPL.Open]]) /Table1[[#This Row],[AAPL.Open]]</f>
        <v>-1.1121043436765471E-3</v>
      </c>
      <c r="O430" s="4" t="str">
        <f>IF(Table1[[#This Row],[AAPL.Close]] &gt; Table1[[#This Row],[AAPL.Open]], "Up", "Down")</f>
        <v>Down</v>
      </c>
      <c r="P430" s="2" t="s">
        <v>11</v>
      </c>
    </row>
    <row r="431" spans="1:16" x14ac:dyDescent="0.35">
      <c r="A431" s="3">
        <v>42319</v>
      </c>
      <c r="B431" s="2" t="str">
        <f>TEXT(Table1[[#This Row],[Date]],"mmm")</f>
        <v>Nov</v>
      </c>
      <c r="C431" s="1">
        <f>YEAR(Table1[[#This Row],[Date]])</f>
        <v>2015</v>
      </c>
      <c r="D431" s="5">
        <v>116.370003</v>
      </c>
      <c r="E431" s="5">
        <v>117.41999800000001</v>
      </c>
      <c r="F431" s="5">
        <v>115.209999</v>
      </c>
      <c r="G431" s="5">
        <v>116.110001</v>
      </c>
      <c r="H431" s="1">
        <v>45218000</v>
      </c>
      <c r="I431">
        <v>113.092557</v>
      </c>
      <c r="J431">
        <v>109.91497440000001</v>
      </c>
      <c r="K431">
        <v>117.2758331</v>
      </c>
      <c r="L431">
        <v>124.63669179999999</v>
      </c>
      <c r="M431" s="5">
        <f>Table1[[#This Row],[AAPL.Close]] -Table1[[#This Row],[AAPL.Open]]</f>
        <v>-0.26000200000000007</v>
      </c>
      <c r="N431" s="4">
        <f>(Table1[[#This Row],[AAPL.Close]] - Table1[[#This Row],[AAPL.Open]]) /Table1[[#This Row],[AAPL.Open]]</f>
        <v>-2.2342699432602066E-3</v>
      </c>
      <c r="O431" s="4" t="str">
        <f>IF(Table1[[#This Row],[AAPL.Close]] &gt; Table1[[#This Row],[AAPL.Open]], "Up", "Down")</f>
        <v>Down</v>
      </c>
      <c r="P431" s="2" t="s">
        <v>11</v>
      </c>
    </row>
    <row r="432" spans="1:16" x14ac:dyDescent="0.35">
      <c r="A432" s="3">
        <v>42320</v>
      </c>
      <c r="B432" s="2" t="str">
        <f>TEXT(Table1[[#This Row],[Date]],"mmm")</f>
        <v>Nov</v>
      </c>
      <c r="C432" s="1">
        <f>YEAR(Table1[[#This Row],[Date]])</f>
        <v>2015</v>
      </c>
      <c r="D432" s="5">
        <v>116.260002</v>
      </c>
      <c r="E432" s="5">
        <v>116.82</v>
      </c>
      <c r="F432" s="5">
        <v>115.650002</v>
      </c>
      <c r="G432" s="5">
        <v>115.720001</v>
      </c>
      <c r="H432" s="1">
        <v>32525600</v>
      </c>
      <c r="I432">
        <v>112.712693</v>
      </c>
      <c r="J432">
        <v>110.608755</v>
      </c>
      <c r="K432">
        <v>117.50483319999999</v>
      </c>
      <c r="L432">
        <v>124.4009114</v>
      </c>
      <c r="M432" s="5">
        <f>Table1[[#This Row],[AAPL.Close]] -Table1[[#This Row],[AAPL.Open]]</f>
        <v>-0.54000100000000373</v>
      </c>
      <c r="N432" s="4">
        <f>(Table1[[#This Row],[AAPL.Close]] - Table1[[#This Row],[AAPL.Open]]) /Table1[[#This Row],[AAPL.Open]]</f>
        <v>-4.6447702624330227E-3</v>
      </c>
      <c r="O432" s="4" t="str">
        <f>IF(Table1[[#This Row],[AAPL.Close]] &gt; Table1[[#This Row],[AAPL.Open]], "Up", "Down")</f>
        <v>Down</v>
      </c>
      <c r="P432" s="2" t="s">
        <v>11</v>
      </c>
    </row>
    <row r="433" spans="1:16" x14ac:dyDescent="0.35">
      <c r="A433" s="3">
        <v>42321</v>
      </c>
      <c r="B433" s="2" t="str">
        <f>TEXT(Table1[[#This Row],[Date]],"mmm")</f>
        <v>Nov</v>
      </c>
      <c r="C433" s="1">
        <f>YEAR(Table1[[#This Row],[Date]])</f>
        <v>2015</v>
      </c>
      <c r="D433" s="5">
        <v>115.199997</v>
      </c>
      <c r="E433" s="5">
        <v>115.57</v>
      </c>
      <c r="F433" s="5">
        <v>112.269997</v>
      </c>
      <c r="G433" s="5">
        <v>112.339996</v>
      </c>
      <c r="H433" s="1">
        <v>45812400</v>
      </c>
      <c r="I433">
        <v>109.42052700000001</v>
      </c>
      <c r="J433">
        <v>111.0642124</v>
      </c>
      <c r="K433">
        <v>117.6149997</v>
      </c>
      <c r="L433">
        <v>124.1657871</v>
      </c>
      <c r="M433" s="5">
        <f>Table1[[#This Row],[AAPL.Close]] -Table1[[#This Row],[AAPL.Open]]</f>
        <v>-2.8600009999999969</v>
      </c>
      <c r="N433" s="4">
        <f>(Table1[[#This Row],[AAPL.Close]] - Table1[[#This Row],[AAPL.Open]]) /Table1[[#This Row],[AAPL.Open]]</f>
        <v>-2.4826398215965204E-2</v>
      </c>
      <c r="O433" s="4" t="str">
        <f>IF(Table1[[#This Row],[AAPL.Close]] &gt; Table1[[#This Row],[AAPL.Open]], "Up", "Down")</f>
        <v>Down</v>
      </c>
      <c r="P433" s="2" t="s">
        <v>11</v>
      </c>
    </row>
    <row r="434" spans="1:16" x14ac:dyDescent="0.35">
      <c r="A434" s="3">
        <v>42324</v>
      </c>
      <c r="B434" s="2" t="str">
        <f>TEXT(Table1[[#This Row],[Date]],"mmm")</f>
        <v>Nov</v>
      </c>
      <c r="C434" s="1">
        <f>YEAR(Table1[[#This Row],[Date]])</f>
        <v>2015</v>
      </c>
      <c r="D434" s="5">
        <v>111.379997</v>
      </c>
      <c r="E434" s="5">
        <v>114.239998</v>
      </c>
      <c r="F434" s="5">
        <v>111</v>
      </c>
      <c r="G434" s="5">
        <v>114.18</v>
      </c>
      <c r="H434" s="1">
        <v>38106700</v>
      </c>
      <c r="I434">
        <v>111.21271299999999</v>
      </c>
      <c r="J434">
        <v>111.49596339999999</v>
      </c>
      <c r="K434">
        <v>117.71216630000001</v>
      </c>
      <c r="L434">
        <v>123.92836920000001</v>
      </c>
      <c r="M434" s="5">
        <f>Table1[[#This Row],[AAPL.Close]] -Table1[[#This Row],[AAPL.Open]]</f>
        <v>2.8000030000000038</v>
      </c>
      <c r="N434" s="4">
        <f>(Table1[[#This Row],[AAPL.Close]] - Table1[[#This Row],[AAPL.Open]]) /Table1[[#This Row],[AAPL.Open]]</f>
        <v>2.513919083693281E-2</v>
      </c>
      <c r="O434" s="4" t="str">
        <f>IF(Table1[[#This Row],[AAPL.Close]] &gt; Table1[[#This Row],[AAPL.Open]], "Up", "Down")</f>
        <v>Up</v>
      </c>
      <c r="P434" s="2" t="s">
        <v>10</v>
      </c>
    </row>
    <row r="435" spans="1:16" x14ac:dyDescent="0.35">
      <c r="A435" s="3">
        <v>42325</v>
      </c>
      <c r="B435" s="2" t="str">
        <f>TEXT(Table1[[#This Row],[Date]],"mmm")</f>
        <v>Nov</v>
      </c>
      <c r="C435" s="1">
        <f>YEAR(Table1[[#This Row],[Date]])</f>
        <v>2015</v>
      </c>
      <c r="D435" s="5">
        <v>114.91999800000001</v>
      </c>
      <c r="E435" s="5">
        <v>115.050003</v>
      </c>
      <c r="F435" s="5">
        <v>113.32</v>
      </c>
      <c r="G435" s="5">
        <v>113.69000200000001</v>
      </c>
      <c r="H435" s="1">
        <v>27616900</v>
      </c>
      <c r="I435">
        <v>110.735449</v>
      </c>
      <c r="J435">
        <v>111.7039561</v>
      </c>
      <c r="K435">
        <v>117.7671665</v>
      </c>
      <c r="L435">
        <v>123.8303768</v>
      </c>
      <c r="M435" s="5">
        <f>Table1[[#This Row],[AAPL.Close]] -Table1[[#This Row],[AAPL.Open]]</f>
        <v>-1.2299959999999999</v>
      </c>
      <c r="N435" s="4">
        <f>(Table1[[#This Row],[AAPL.Close]] - Table1[[#This Row],[AAPL.Open]]) /Table1[[#This Row],[AAPL.Open]]</f>
        <v>-1.0703063186617874E-2</v>
      </c>
      <c r="O435" s="4" t="str">
        <f>IF(Table1[[#This Row],[AAPL.Close]] &gt; Table1[[#This Row],[AAPL.Open]], "Up", "Down")</f>
        <v>Down</v>
      </c>
      <c r="P435" s="2" t="s">
        <v>11</v>
      </c>
    </row>
    <row r="436" spans="1:16" x14ac:dyDescent="0.35">
      <c r="A436" s="3">
        <v>42326</v>
      </c>
      <c r="B436" s="2" t="str">
        <f>TEXT(Table1[[#This Row],[Date]],"mmm")</f>
        <v>Nov</v>
      </c>
      <c r="C436" s="1">
        <f>YEAR(Table1[[#This Row],[Date]])</f>
        <v>2015</v>
      </c>
      <c r="D436" s="5">
        <v>115.760002</v>
      </c>
      <c r="E436" s="5">
        <v>117.489998</v>
      </c>
      <c r="F436" s="5">
        <v>115.5</v>
      </c>
      <c r="G436" s="5">
        <v>117.290001</v>
      </c>
      <c r="H436" s="1">
        <v>46674700</v>
      </c>
      <c r="I436">
        <v>114.241891</v>
      </c>
      <c r="J436">
        <v>112.0084461</v>
      </c>
      <c r="K436">
        <v>117.88783309999999</v>
      </c>
      <c r="L436">
        <v>123.7672201</v>
      </c>
      <c r="M436" s="5">
        <f>Table1[[#This Row],[AAPL.Close]] -Table1[[#This Row],[AAPL.Open]]</f>
        <v>1.5299990000000037</v>
      </c>
      <c r="N436" s="4">
        <f>(Table1[[#This Row],[AAPL.Close]] - Table1[[#This Row],[AAPL.Open]]) /Table1[[#This Row],[AAPL.Open]]</f>
        <v>1.3216991824170871E-2</v>
      </c>
      <c r="O436" s="4" t="str">
        <f>IF(Table1[[#This Row],[AAPL.Close]] &gt; Table1[[#This Row],[AAPL.Open]], "Up", "Down")</f>
        <v>Up</v>
      </c>
      <c r="P436" s="2" t="s">
        <v>10</v>
      </c>
    </row>
    <row r="437" spans="1:16" x14ac:dyDescent="0.35">
      <c r="A437" s="3">
        <v>42327</v>
      </c>
      <c r="B437" s="2" t="str">
        <f>TEXT(Table1[[#This Row],[Date]],"mmm")</f>
        <v>Nov</v>
      </c>
      <c r="C437" s="1">
        <f>YEAR(Table1[[#This Row],[Date]])</f>
        <v>2015</v>
      </c>
      <c r="D437" s="5">
        <v>117.639999</v>
      </c>
      <c r="E437" s="5">
        <v>119.75</v>
      </c>
      <c r="F437" s="5">
        <v>116.760002</v>
      </c>
      <c r="G437" s="5">
        <v>118.779999</v>
      </c>
      <c r="H437" s="1">
        <v>43295800</v>
      </c>
      <c r="I437">
        <v>115.693167</v>
      </c>
      <c r="J437">
        <v>112.3234732</v>
      </c>
      <c r="K437">
        <v>118.0576665</v>
      </c>
      <c r="L437">
        <v>123.7918598</v>
      </c>
      <c r="M437" s="5">
        <f>Table1[[#This Row],[AAPL.Close]] -Table1[[#This Row],[AAPL.Open]]</f>
        <v>1.1400000000000006</v>
      </c>
      <c r="N437" s="4">
        <f>(Table1[[#This Row],[AAPL.Close]] - Table1[[#This Row],[AAPL.Open]]) /Table1[[#This Row],[AAPL.Open]]</f>
        <v>9.6905815172609825E-3</v>
      </c>
      <c r="O437" s="4" t="str">
        <f>IF(Table1[[#This Row],[AAPL.Close]] &gt; Table1[[#This Row],[AAPL.Open]], "Up", "Down")</f>
        <v>Up</v>
      </c>
      <c r="P437" s="2" t="s">
        <v>10</v>
      </c>
    </row>
    <row r="438" spans="1:16" x14ac:dyDescent="0.35">
      <c r="A438" s="3">
        <v>42328</v>
      </c>
      <c r="B438" s="2" t="str">
        <f>TEXT(Table1[[#This Row],[Date]],"mmm")</f>
        <v>Nov</v>
      </c>
      <c r="C438" s="1">
        <f>YEAR(Table1[[#This Row],[Date]])</f>
        <v>2015</v>
      </c>
      <c r="D438" s="5">
        <v>119.199997</v>
      </c>
      <c r="E438" s="5">
        <v>119.91999800000001</v>
      </c>
      <c r="F438" s="5">
        <v>118.849998</v>
      </c>
      <c r="G438" s="5">
        <v>119.300003</v>
      </c>
      <c r="H438" s="1">
        <v>34287100</v>
      </c>
      <c r="I438">
        <v>116.199658</v>
      </c>
      <c r="J438">
        <v>112.3528426</v>
      </c>
      <c r="K438">
        <v>118.114833</v>
      </c>
      <c r="L438">
        <v>123.8768235</v>
      </c>
      <c r="M438" s="5">
        <f>Table1[[#This Row],[AAPL.Close]] -Table1[[#This Row],[AAPL.Open]]</f>
        <v>0.10000600000000759</v>
      </c>
      <c r="N438" s="4">
        <f>(Table1[[#This Row],[AAPL.Close]] - Table1[[#This Row],[AAPL.Open]]) /Table1[[#This Row],[AAPL.Open]]</f>
        <v>8.3897653118235891E-4</v>
      </c>
      <c r="O438" s="4" t="str">
        <f>IF(Table1[[#This Row],[AAPL.Close]] &gt; Table1[[#This Row],[AAPL.Open]], "Up", "Down")</f>
        <v>Up</v>
      </c>
      <c r="P438" s="2" t="s">
        <v>10</v>
      </c>
    </row>
    <row r="439" spans="1:16" x14ac:dyDescent="0.35">
      <c r="A439" s="3">
        <v>42331</v>
      </c>
      <c r="B439" s="2" t="str">
        <f>TEXT(Table1[[#This Row],[Date]],"mmm")</f>
        <v>Nov</v>
      </c>
      <c r="C439" s="1">
        <f>YEAR(Table1[[#This Row],[Date]])</f>
        <v>2015</v>
      </c>
      <c r="D439" s="5">
        <v>119.269997</v>
      </c>
      <c r="E439" s="5">
        <v>119.730003</v>
      </c>
      <c r="F439" s="5">
        <v>117.339996</v>
      </c>
      <c r="G439" s="5">
        <v>117.75</v>
      </c>
      <c r="H439" s="1">
        <v>32482500</v>
      </c>
      <c r="I439">
        <v>114.689936</v>
      </c>
      <c r="J439">
        <v>112.5348643</v>
      </c>
      <c r="K439">
        <v>118.2229998</v>
      </c>
      <c r="L439">
        <v>123.9111353</v>
      </c>
      <c r="M439" s="5">
        <f>Table1[[#This Row],[AAPL.Close]] -Table1[[#This Row],[AAPL.Open]]</f>
        <v>-1.5199970000000036</v>
      </c>
      <c r="N439" s="4">
        <f>(Table1[[#This Row],[AAPL.Close]] - Table1[[#This Row],[AAPL.Open]]) /Table1[[#This Row],[AAPL.Open]]</f>
        <v>-1.274416901343599E-2</v>
      </c>
      <c r="O439" s="4" t="str">
        <f>IF(Table1[[#This Row],[AAPL.Close]] &gt; Table1[[#This Row],[AAPL.Open]], "Up", "Down")</f>
        <v>Down</v>
      </c>
      <c r="P439" s="2" t="s">
        <v>11</v>
      </c>
    </row>
    <row r="440" spans="1:16" x14ac:dyDescent="0.35">
      <c r="A440" s="3">
        <v>42332</v>
      </c>
      <c r="B440" s="2" t="str">
        <f>TEXT(Table1[[#This Row],[Date]],"mmm")</f>
        <v>Nov</v>
      </c>
      <c r="C440" s="1">
        <f>YEAR(Table1[[#This Row],[Date]])</f>
        <v>2015</v>
      </c>
      <c r="D440" s="5">
        <v>117.33000199999999</v>
      </c>
      <c r="E440" s="5">
        <v>119.349998</v>
      </c>
      <c r="F440" s="5">
        <v>117.120003</v>
      </c>
      <c r="G440" s="5">
        <v>118.879997</v>
      </c>
      <c r="H440" s="1">
        <v>42803200</v>
      </c>
      <c r="I440">
        <v>115.790567</v>
      </c>
      <c r="J440">
        <v>112.8982869</v>
      </c>
      <c r="K440">
        <v>118.3941664</v>
      </c>
      <c r="L440">
        <v>123.8900458</v>
      </c>
      <c r="M440" s="5">
        <f>Table1[[#This Row],[AAPL.Close]] -Table1[[#This Row],[AAPL.Open]]</f>
        <v>1.5499950000000098</v>
      </c>
      <c r="N440" s="4">
        <f>(Table1[[#This Row],[AAPL.Close]] - Table1[[#This Row],[AAPL.Open]]) /Table1[[#This Row],[AAPL.Open]]</f>
        <v>1.3210559733903438E-2</v>
      </c>
      <c r="O440" s="4" t="str">
        <f>IF(Table1[[#This Row],[AAPL.Close]] &gt; Table1[[#This Row],[AAPL.Open]], "Up", "Down")</f>
        <v>Up</v>
      </c>
      <c r="P440" s="2" t="s">
        <v>10</v>
      </c>
    </row>
    <row r="441" spans="1:16" x14ac:dyDescent="0.35">
      <c r="A441" s="3">
        <v>42333</v>
      </c>
      <c r="B441" s="2" t="str">
        <f>TEXT(Table1[[#This Row],[Date]],"mmm")</f>
        <v>Nov</v>
      </c>
      <c r="C441" s="1">
        <f>YEAR(Table1[[#This Row],[Date]])</f>
        <v>2015</v>
      </c>
      <c r="D441" s="5">
        <v>119.209999</v>
      </c>
      <c r="E441" s="5">
        <v>119.230003</v>
      </c>
      <c r="F441" s="5">
        <v>117.91999800000001</v>
      </c>
      <c r="G441" s="5">
        <v>118.029999</v>
      </c>
      <c r="H441" s="1">
        <v>21388300</v>
      </c>
      <c r="I441">
        <v>114.962658</v>
      </c>
      <c r="J441">
        <v>112.90810140000001</v>
      </c>
      <c r="K441">
        <v>118.4033331</v>
      </c>
      <c r="L441">
        <v>123.8985648</v>
      </c>
      <c r="M441" s="5">
        <f>Table1[[#This Row],[AAPL.Close]] -Table1[[#This Row],[AAPL.Open]]</f>
        <v>-1.1799999999999926</v>
      </c>
      <c r="N441" s="4">
        <f>(Table1[[#This Row],[AAPL.Close]] - Table1[[#This Row],[AAPL.Open]]) /Table1[[#This Row],[AAPL.Open]]</f>
        <v>-9.8984985311508355E-3</v>
      </c>
      <c r="O441" s="4" t="str">
        <f>IF(Table1[[#This Row],[AAPL.Close]] &gt; Table1[[#This Row],[AAPL.Open]], "Up", "Down")</f>
        <v>Down</v>
      </c>
      <c r="P441" s="2" t="s">
        <v>11</v>
      </c>
    </row>
    <row r="442" spans="1:16" x14ac:dyDescent="0.35">
      <c r="A442" s="3">
        <v>42335</v>
      </c>
      <c r="B442" s="2" t="str">
        <f>TEXT(Table1[[#This Row],[Date]],"mmm")</f>
        <v>Nov</v>
      </c>
      <c r="C442" s="1">
        <f>YEAR(Table1[[#This Row],[Date]])</f>
        <v>2015</v>
      </c>
      <c r="D442" s="5">
        <v>118.290001</v>
      </c>
      <c r="E442" s="5">
        <v>118.410004</v>
      </c>
      <c r="F442" s="5">
        <v>117.599998</v>
      </c>
      <c r="G442" s="5">
        <v>117.80999799999999</v>
      </c>
      <c r="H442" s="1">
        <v>13046400</v>
      </c>
      <c r="I442">
        <v>114.748374</v>
      </c>
      <c r="J442">
        <v>112.8501052</v>
      </c>
      <c r="K442">
        <v>118.3088331</v>
      </c>
      <c r="L442">
        <v>123.767561</v>
      </c>
      <c r="M442" s="5">
        <f>Table1[[#This Row],[AAPL.Close]] -Table1[[#This Row],[AAPL.Open]]</f>
        <v>-0.48000300000001062</v>
      </c>
      <c r="N442" s="4">
        <f>(Table1[[#This Row],[AAPL.Close]] - Table1[[#This Row],[AAPL.Open]]) /Table1[[#This Row],[AAPL.Open]]</f>
        <v>-4.057849318980144E-3</v>
      </c>
      <c r="O442" s="4" t="str">
        <f>IF(Table1[[#This Row],[AAPL.Close]] &gt; Table1[[#This Row],[AAPL.Open]], "Up", "Down")</f>
        <v>Down</v>
      </c>
      <c r="P442" s="2" t="s">
        <v>11</v>
      </c>
    </row>
    <row r="443" spans="1:16" x14ac:dyDescent="0.35">
      <c r="A443" s="3">
        <v>42338</v>
      </c>
      <c r="B443" s="2" t="str">
        <f>TEXT(Table1[[#This Row],[Date]],"mmm")</f>
        <v>Nov</v>
      </c>
      <c r="C443" s="1">
        <f>YEAR(Table1[[#This Row],[Date]])</f>
        <v>2015</v>
      </c>
      <c r="D443" s="5">
        <v>117.989998</v>
      </c>
      <c r="E443" s="5">
        <v>119.410004</v>
      </c>
      <c r="F443" s="5">
        <v>117.75</v>
      </c>
      <c r="G443" s="5">
        <v>118.300003</v>
      </c>
      <c r="H443" s="1">
        <v>39180300</v>
      </c>
      <c r="I443">
        <v>115.225646</v>
      </c>
      <c r="J443">
        <v>112.8295552</v>
      </c>
      <c r="K443">
        <v>118.2303333</v>
      </c>
      <c r="L443">
        <v>123.6311113</v>
      </c>
      <c r="M443" s="5">
        <f>Table1[[#This Row],[AAPL.Close]] -Table1[[#This Row],[AAPL.Open]]</f>
        <v>0.31000500000000386</v>
      </c>
      <c r="N443" s="4">
        <f>(Table1[[#This Row],[AAPL.Close]] - Table1[[#This Row],[AAPL.Open]]) /Table1[[#This Row],[AAPL.Open]]</f>
        <v>2.6273837211184957E-3</v>
      </c>
      <c r="O443" s="4" t="str">
        <f>IF(Table1[[#This Row],[AAPL.Close]] &gt; Table1[[#This Row],[AAPL.Open]], "Up", "Down")</f>
        <v>Up</v>
      </c>
      <c r="P443" s="2" t="s">
        <v>10</v>
      </c>
    </row>
    <row r="444" spans="1:16" x14ac:dyDescent="0.35">
      <c r="A444" s="3">
        <v>42675</v>
      </c>
      <c r="B444" s="2" t="str">
        <f>TEXT(Table1[[#This Row],[Date]],"mmm")</f>
        <v>Nov</v>
      </c>
      <c r="C444" s="1">
        <f>YEAR(Table1[[#This Row],[Date]])</f>
        <v>2016</v>
      </c>
      <c r="D444" s="5">
        <v>113.459999</v>
      </c>
      <c r="E444" s="5">
        <v>113.769997</v>
      </c>
      <c r="F444" s="5">
        <v>110.529999</v>
      </c>
      <c r="G444" s="5">
        <v>111.489998</v>
      </c>
      <c r="H444" s="1">
        <v>43825800</v>
      </c>
      <c r="I444">
        <v>110.441678</v>
      </c>
      <c r="J444">
        <v>112.22910829999999</v>
      </c>
      <c r="K444">
        <v>115.76283309999999</v>
      </c>
      <c r="L444">
        <v>119.296558</v>
      </c>
      <c r="M444" s="5">
        <f>Table1[[#This Row],[AAPL.Close]] -Table1[[#This Row],[AAPL.Open]]</f>
        <v>-1.9700009999999963</v>
      </c>
      <c r="N444" s="4">
        <f>(Table1[[#This Row],[AAPL.Close]] - Table1[[#This Row],[AAPL.Open]]) /Table1[[#This Row],[AAPL.Open]]</f>
        <v>-1.7362956260910917E-2</v>
      </c>
      <c r="O444" s="4" t="str">
        <f>IF(Table1[[#This Row],[AAPL.Close]] &gt; Table1[[#This Row],[AAPL.Open]], "Up", "Down")</f>
        <v>Down</v>
      </c>
      <c r="P444" s="2" t="s">
        <v>11</v>
      </c>
    </row>
    <row r="445" spans="1:16" x14ac:dyDescent="0.35">
      <c r="A445" s="3">
        <v>42676</v>
      </c>
      <c r="B445" s="2" t="str">
        <f>TEXT(Table1[[#This Row],[Date]],"mmm")</f>
        <v>Nov</v>
      </c>
      <c r="C445" s="1">
        <f>YEAR(Table1[[#This Row],[Date]])</f>
        <v>2016</v>
      </c>
      <c r="D445" s="5">
        <v>111.400002</v>
      </c>
      <c r="E445" s="5">
        <v>112.349998</v>
      </c>
      <c r="F445" s="5">
        <v>111.230003</v>
      </c>
      <c r="G445" s="5">
        <v>111.589996</v>
      </c>
      <c r="H445" s="1">
        <v>28331700</v>
      </c>
      <c r="I445">
        <v>110.54073699999999</v>
      </c>
      <c r="J445">
        <v>111.9044585</v>
      </c>
      <c r="K445">
        <v>115.6923329</v>
      </c>
      <c r="L445">
        <v>119.4802074</v>
      </c>
      <c r="M445" s="5">
        <f>Table1[[#This Row],[AAPL.Close]] -Table1[[#This Row],[AAPL.Open]]</f>
        <v>0.18999399999999866</v>
      </c>
      <c r="N445" s="4">
        <f>(Table1[[#This Row],[AAPL.Close]] - Table1[[#This Row],[AAPL.Open]]) /Table1[[#This Row],[AAPL.Open]]</f>
        <v>1.7055116390392764E-3</v>
      </c>
      <c r="O445" s="4" t="str">
        <f>IF(Table1[[#This Row],[AAPL.Close]] &gt; Table1[[#This Row],[AAPL.Open]], "Up", "Down")</f>
        <v>Up</v>
      </c>
      <c r="P445" s="2" t="s">
        <v>10</v>
      </c>
    </row>
    <row r="446" spans="1:16" x14ac:dyDescent="0.35">
      <c r="A446" s="3">
        <v>42677</v>
      </c>
      <c r="B446" s="2" t="str">
        <f>TEXT(Table1[[#This Row],[Date]],"mmm")</f>
        <v>Nov</v>
      </c>
      <c r="C446" s="1">
        <f>YEAR(Table1[[#This Row],[Date]])</f>
        <v>2016</v>
      </c>
      <c r="D446" s="5">
        <v>110.980003</v>
      </c>
      <c r="E446" s="5">
        <v>111.459999</v>
      </c>
      <c r="F446" s="5">
        <v>109.550003</v>
      </c>
      <c r="G446" s="5">
        <v>109.83000199999999</v>
      </c>
      <c r="H446" s="1">
        <v>26932600</v>
      </c>
      <c r="I446">
        <v>109.35588</v>
      </c>
      <c r="J446">
        <v>111.1172978</v>
      </c>
      <c r="K446">
        <v>115.51699979999999</v>
      </c>
      <c r="L446">
        <v>119.9167018</v>
      </c>
      <c r="M446" s="5">
        <f>Table1[[#This Row],[AAPL.Close]] -Table1[[#This Row],[AAPL.Open]]</f>
        <v>-1.1500010000000032</v>
      </c>
      <c r="N446" s="4">
        <f>(Table1[[#This Row],[AAPL.Close]] - Table1[[#This Row],[AAPL.Open]]) /Table1[[#This Row],[AAPL.Open]]</f>
        <v>-1.036223615888714E-2</v>
      </c>
      <c r="O446" s="4" t="str">
        <f>IF(Table1[[#This Row],[AAPL.Close]] &gt; Table1[[#This Row],[AAPL.Open]], "Up", "Down")</f>
        <v>Down</v>
      </c>
      <c r="P446" s="2" t="s">
        <v>11</v>
      </c>
    </row>
    <row r="447" spans="1:16" x14ac:dyDescent="0.35">
      <c r="A447" s="3">
        <v>42678</v>
      </c>
      <c r="B447" s="2" t="str">
        <f>TEXT(Table1[[#This Row],[Date]],"mmm")</f>
        <v>Nov</v>
      </c>
      <c r="C447" s="1">
        <f>YEAR(Table1[[#This Row],[Date]])</f>
        <v>2016</v>
      </c>
      <c r="D447" s="5">
        <v>108.529999</v>
      </c>
      <c r="E447" s="5">
        <v>110.25</v>
      </c>
      <c r="F447" s="5">
        <v>108.110001</v>
      </c>
      <c r="G447" s="5">
        <v>108.839996</v>
      </c>
      <c r="H447" s="1">
        <v>30837000</v>
      </c>
      <c r="I447">
        <v>108.370149</v>
      </c>
      <c r="J447">
        <v>110.07232879999999</v>
      </c>
      <c r="K447">
        <v>115.2681664</v>
      </c>
      <c r="L447">
        <v>120.4640041</v>
      </c>
      <c r="M447" s="5">
        <f>Table1[[#This Row],[AAPL.Close]] -Table1[[#This Row],[AAPL.Open]]</f>
        <v>0.30999699999999564</v>
      </c>
      <c r="N447" s="4">
        <f>(Table1[[#This Row],[AAPL.Close]] - Table1[[#This Row],[AAPL.Open]]) /Table1[[#This Row],[AAPL.Open]]</f>
        <v>2.8563254662887783E-3</v>
      </c>
      <c r="O447" s="4" t="str">
        <f>IF(Table1[[#This Row],[AAPL.Close]] &gt; Table1[[#This Row],[AAPL.Open]], "Up", "Down")</f>
        <v>Up</v>
      </c>
      <c r="P447" s="2" t="s">
        <v>10</v>
      </c>
    </row>
    <row r="448" spans="1:16" x14ac:dyDescent="0.35">
      <c r="A448" s="3">
        <v>42681</v>
      </c>
      <c r="B448" s="2" t="str">
        <f>TEXT(Table1[[#This Row],[Date]],"mmm")</f>
        <v>Nov</v>
      </c>
      <c r="C448" s="1">
        <f>YEAR(Table1[[#This Row],[Date]])</f>
        <v>2016</v>
      </c>
      <c r="D448" s="5">
        <v>110.08000199999999</v>
      </c>
      <c r="E448" s="5">
        <v>110.510002</v>
      </c>
      <c r="F448" s="5">
        <v>109.459999</v>
      </c>
      <c r="G448" s="5">
        <v>110.410004</v>
      </c>
      <c r="H448" s="1">
        <v>32560000</v>
      </c>
      <c r="I448">
        <v>109.933378</v>
      </c>
      <c r="J448">
        <v>109.3352076</v>
      </c>
      <c r="K448">
        <v>114.9824998</v>
      </c>
      <c r="L448">
        <v>120.6297919</v>
      </c>
      <c r="M448" s="5">
        <f>Table1[[#This Row],[AAPL.Close]] -Table1[[#This Row],[AAPL.Open]]</f>
        <v>0.33000200000000746</v>
      </c>
      <c r="N448" s="4">
        <f>(Table1[[#This Row],[AAPL.Close]] - Table1[[#This Row],[AAPL.Open]]) /Table1[[#This Row],[AAPL.Open]]</f>
        <v>2.9978378815800483E-3</v>
      </c>
      <c r="O448" s="4" t="str">
        <f>IF(Table1[[#This Row],[AAPL.Close]] &gt; Table1[[#This Row],[AAPL.Open]], "Up", "Down")</f>
        <v>Up</v>
      </c>
      <c r="P448" s="2" t="s">
        <v>10</v>
      </c>
    </row>
    <row r="449" spans="1:16" x14ac:dyDescent="0.35">
      <c r="A449" s="3">
        <v>42682</v>
      </c>
      <c r="B449" s="2" t="str">
        <f>TEXT(Table1[[#This Row],[Date]],"mmm")</f>
        <v>Nov</v>
      </c>
      <c r="C449" s="1">
        <f>YEAR(Table1[[#This Row],[Date]])</f>
        <v>2016</v>
      </c>
      <c r="D449" s="5">
        <v>110.30999799999999</v>
      </c>
      <c r="E449" s="5">
        <v>111.720001</v>
      </c>
      <c r="F449" s="5">
        <v>109.699997</v>
      </c>
      <c r="G449" s="5">
        <v>111.05999799999999</v>
      </c>
      <c r="H449" s="1">
        <v>24054500</v>
      </c>
      <c r="I449">
        <v>110.580566</v>
      </c>
      <c r="J449">
        <v>108.8319023</v>
      </c>
      <c r="K449">
        <v>114.6706664</v>
      </c>
      <c r="L449">
        <v>120.5094304</v>
      </c>
      <c r="M449" s="5">
        <f>Table1[[#This Row],[AAPL.Close]] -Table1[[#This Row],[AAPL.Open]]</f>
        <v>0.75</v>
      </c>
      <c r="N449" s="4">
        <f>(Table1[[#This Row],[AAPL.Close]] - Table1[[#This Row],[AAPL.Open]]) /Table1[[#This Row],[AAPL.Open]]</f>
        <v>6.799021064255663E-3</v>
      </c>
      <c r="O449" s="4" t="str">
        <f>IF(Table1[[#This Row],[AAPL.Close]] &gt; Table1[[#This Row],[AAPL.Open]], "Up", "Down")</f>
        <v>Up</v>
      </c>
      <c r="P449" s="2" t="s">
        <v>10</v>
      </c>
    </row>
    <row r="450" spans="1:16" x14ac:dyDescent="0.35">
      <c r="A450" s="3">
        <v>42683</v>
      </c>
      <c r="B450" s="2" t="str">
        <f>TEXT(Table1[[#This Row],[Date]],"mmm")</f>
        <v>Nov</v>
      </c>
      <c r="C450" s="1">
        <f>YEAR(Table1[[#This Row],[Date]])</f>
        <v>2016</v>
      </c>
      <c r="D450" s="5">
        <v>109.879997</v>
      </c>
      <c r="E450" s="5">
        <v>111.32</v>
      </c>
      <c r="F450" s="5">
        <v>108.050003</v>
      </c>
      <c r="G450" s="5">
        <v>110.879997</v>
      </c>
      <c r="H450" s="1">
        <v>59176400</v>
      </c>
      <c r="I450">
        <v>110.401343</v>
      </c>
      <c r="J450">
        <v>108.27973179999999</v>
      </c>
      <c r="K450">
        <v>114.30699970000001</v>
      </c>
      <c r="L450">
        <v>120.3342676</v>
      </c>
      <c r="M450" s="5">
        <f>Table1[[#This Row],[AAPL.Close]] -Table1[[#This Row],[AAPL.Open]]</f>
        <v>1</v>
      </c>
      <c r="N450" s="4">
        <f>(Table1[[#This Row],[AAPL.Close]] - Table1[[#This Row],[AAPL.Open]]) /Table1[[#This Row],[AAPL.Open]]</f>
        <v>9.100837525505211E-3</v>
      </c>
      <c r="O450" s="4" t="str">
        <f>IF(Table1[[#This Row],[AAPL.Close]] &gt; Table1[[#This Row],[AAPL.Open]], "Up", "Down")</f>
        <v>Up</v>
      </c>
      <c r="P450" s="2" t="s">
        <v>10</v>
      </c>
    </row>
    <row r="451" spans="1:16" x14ac:dyDescent="0.35">
      <c r="A451" s="3">
        <v>42684</v>
      </c>
      <c r="B451" s="2" t="str">
        <f>TEXT(Table1[[#This Row],[Date]],"mmm")</f>
        <v>Nov</v>
      </c>
      <c r="C451" s="1">
        <f>YEAR(Table1[[#This Row],[Date]])</f>
        <v>2016</v>
      </c>
      <c r="D451" s="5">
        <v>111.089996</v>
      </c>
      <c r="E451" s="5">
        <v>111.089996</v>
      </c>
      <c r="F451" s="5">
        <v>105.83000199999999</v>
      </c>
      <c r="G451" s="5">
        <v>107.790001</v>
      </c>
      <c r="H451" s="1">
        <v>57134500</v>
      </c>
      <c r="I451">
        <v>107.324686</v>
      </c>
      <c r="J451">
        <v>107.4162413</v>
      </c>
      <c r="K451">
        <v>113.8831663</v>
      </c>
      <c r="L451">
        <v>120.35009119999999</v>
      </c>
      <c r="M451" s="5">
        <f>Table1[[#This Row],[AAPL.Close]] -Table1[[#This Row],[AAPL.Open]]</f>
        <v>-3.2999949999999956</v>
      </c>
      <c r="N451" s="4">
        <f>(Table1[[#This Row],[AAPL.Close]] - Table1[[#This Row],[AAPL.Open]]) /Table1[[#This Row],[AAPL.Open]]</f>
        <v>-2.9705600133426917E-2</v>
      </c>
      <c r="O451" s="4" t="str">
        <f>IF(Table1[[#This Row],[AAPL.Close]] &gt; Table1[[#This Row],[AAPL.Open]], "Up", "Down")</f>
        <v>Down</v>
      </c>
      <c r="P451" s="2" t="s">
        <v>11</v>
      </c>
    </row>
    <row r="452" spans="1:16" x14ac:dyDescent="0.35">
      <c r="A452" s="3">
        <v>42685</v>
      </c>
      <c r="B452" s="2" t="str">
        <f>TEXT(Table1[[#This Row],[Date]],"mmm")</f>
        <v>Nov</v>
      </c>
      <c r="C452" s="1">
        <f>YEAR(Table1[[#This Row],[Date]])</f>
        <v>2016</v>
      </c>
      <c r="D452" s="5">
        <v>107.120003</v>
      </c>
      <c r="E452" s="5">
        <v>108.870003</v>
      </c>
      <c r="F452" s="5">
        <v>106.550003</v>
      </c>
      <c r="G452" s="5">
        <v>108.43</v>
      </c>
      <c r="H452" s="1">
        <v>34143900</v>
      </c>
      <c r="I452">
        <v>107.961922</v>
      </c>
      <c r="J452">
        <v>106.6832759</v>
      </c>
      <c r="K452">
        <v>113.3984998</v>
      </c>
      <c r="L452">
        <v>120.11372369999999</v>
      </c>
      <c r="M452" s="5">
        <f>Table1[[#This Row],[AAPL.Close]] -Table1[[#This Row],[AAPL.Open]]</f>
        <v>1.3099970000000098</v>
      </c>
      <c r="N452" s="4">
        <f>(Table1[[#This Row],[AAPL.Close]] - Table1[[#This Row],[AAPL.Open]]) /Table1[[#This Row],[AAPL.Open]]</f>
        <v>1.2229247230323639E-2</v>
      </c>
      <c r="O452" s="4" t="str">
        <f>IF(Table1[[#This Row],[AAPL.Close]] &gt; Table1[[#This Row],[AAPL.Open]], "Up", "Down")</f>
        <v>Up</v>
      </c>
      <c r="P452" s="2" t="s">
        <v>10</v>
      </c>
    </row>
    <row r="453" spans="1:16" x14ac:dyDescent="0.35">
      <c r="A453" s="3">
        <v>42688</v>
      </c>
      <c r="B453" s="2" t="str">
        <f>TEXT(Table1[[#This Row],[Date]],"mmm")</f>
        <v>Nov</v>
      </c>
      <c r="C453" s="1">
        <f>YEAR(Table1[[#This Row],[Date]])</f>
        <v>2016</v>
      </c>
      <c r="D453" s="5">
        <v>107.709999</v>
      </c>
      <c r="E453" s="5">
        <v>107.80999799999999</v>
      </c>
      <c r="F453" s="5">
        <v>104.08000199999999</v>
      </c>
      <c r="G453" s="5">
        <v>105.709999</v>
      </c>
      <c r="H453" s="1">
        <v>51175500</v>
      </c>
      <c r="I453">
        <v>105.253663</v>
      </c>
      <c r="J453">
        <v>105.6163877</v>
      </c>
      <c r="K453">
        <v>112.8223332</v>
      </c>
      <c r="L453">
        <v>120.02827859999999</v>
      </c>
      <c r="M453" s="5">
        <f>Table1[[#This Row],[AAPL.Close]] -Table1[[#This Row],[AAPL.Open]]</f>
        <v>-2</v>
      </c>
      <c r="N453" s="4">
        <f>(Table1[[#This Row],[AAPL.Close]] - Table1[[#This Row],[AAPL.Open]]) /Table1[[#This Row],[AAPL.Open]]</f>
        <v>-1.8568378224569478E-2</v>
      </c>
      <c r="O453" s="4" t="str">
        <f>IF(Table1[[#This Row],[AAPL.Close]] &gt; Table1[[#This Row],[AAPL.Open]], "Up", "Down")</f>
        <v>Down</v>
      </c>
      <c r="P453" s="2" t="s">
        <v>11</v>
      </c>
    </row>
    <row r="454" spans="1:16" x14ac:dyDescent="0.35">
      <c r="A454" s="3">
        <v>42689</v>
      </c>
      <c r="B454" s="2" t="str">
        <f>TEXT(Table1[[#This Row],[Date]],"mmm")</f>
        <v>Nov</v>
      </c>
      <c r="C454" s="1">
        <f>YEAR(Table1[[#This Row],[Date]])</f>
        <v>2016</v>
      </c>
      <c r="D454" s="5">
        <v>106.57</v>
      </c>
      <c r="E454" s="5">
        <v>107.68</v>
      </c>
      <c r="F454" s="5">
        <v>106.160004</v>
      </c>
      <c r="G454" s="5">
        <v>107.110001</v>
      </c>
      <c r="H454" s="1">
        <v>32264500</v>
      </c>
      <c r="I454">
        <v>106.647621</v>
      </c>
      <c r="J454">
        <v>105.0185409</v>
      </c>
      <c r="K454">
        <v>112.286</v>
      </c>
      <c r="L454">
        <v>119.553459</v>
      </c>
      <c r="M454" s="5">
        <f>Table1[[#This Row],[AAPL.Close]] -Table1[[#This Row],[AAPL.Open]]</f>
        <v>0.54000100000000373</v>
      </c>
      <c r="N454" s="4">
        <f>(Table1[[#This Row],[AAPL.Close]] - Table1[[#This Row],[AAPL.Open]]) /Table1[[#This Row],[AAPL.Open]]</f>
        <v>5.0671014356761168E-3</v>
      </c>
      <c r="O454" s="4" t="str">
        <f>IF(Table1[[#This Row],[AAPL.Close]] &gt; Table1[[#This Row],[AAPL.Open]], "Up", "Down")</f>
        <v>Up</v>
      </c>
      <c r="P454" s="2" t="s">
        <v>10</v>
      </c>
    </row>
    <row r="455" spans="1:16" x14ac:dyDescent="0.35">
      <c r="A455" s="3">
        <v>42690</v>
      </c>
      <c r="B455" s="2" t="str">
        <f>TEXT(Table1[[#This Row],[Date]],"mmm")</f>
        <v>Nov</v>
      </c>
      <c r="C455" s="1">
        <f>YEAR(Table1[[#This Row],[Date]])</f>
        <v>2016</v>
      </c>
      <c r="D455" s="5">
        <v>106.699997</v>
      </c>
      <c r="E455" s="5">
        <v>110.230003</v>
      </c>
      <c r="F455" s="5">
        <v>106.599998</v>
      </c>
      <c r="G455" s="5">
        <v>109.989998</v>
      </c>
      <c r="H455" s="1">
        <v>58840500</v>
      </c>
      <c r="I455">
        <v>109.515186</v>
      </c>
      <c r="J455">
        <v>104.7510059</v>
      </c>
      <c r="K455">
        <v>111.9216665</v>
      </c>
      <c r="L455">
        <v>119.09232710000001</v>
      </c>
      <c r="M455" s="5">
        <f>Table1[[#This Row],[AAPL.Close]] -Table1[[#This Row],[AAPL.Open]]</f>
        <v>3.2900010000000037</v>
      </c>
      <c r="N455" s="4">
        <f>(Table1[[#This Row],[AAPL.Close]] - Table1[[#This Row],[AAPL.Open]]) /Table1[[#This Row],[AAPL.Open]]</f>
        <v>3.0834124578279078E-2</v>
      </c>
      <c r="O455" s="4" t="str">
        <f>IF(Table1[[#This Row],[AAPL.Close]] &gt; Table1[[#This Row],[AAPL.Open]], "Up", "Down")</f>
        <v>Up</v>
      </c>
      <c r="P455" s="2" t="s">
        <v>10</v>
      </c>
    </row>
    <row r="456" spans="1:16" x14ac:dyDescent="0.35">
      <c r="A456" s="3">
        <v>42691</v>
      </c>
      <c r="B456" s="2" t="str">
        <f>TEXT(Table1[[#This Row],[Date]],"mmm")</f>
        <v>Nov</v>
      </c>
      <c r="C456" s="1">
        <f>YEAR(Table1[[#This Row],[Date]])</f>
        <v>2016</v>
      </c>
      <c r="D456" s="5">
        <v>109.80999799999999</v>
      </c>
      <c r="E456" s="5">
        <v>110.349998</v>
      </c>
      <c r="F456" s="5">
        <v>108.83000199999999</v>
      </c>
      <c r="G456" s="5">
        <v>109.949997</v>
      </c>
      <c r="H456" s="1">
        <v>27632000</v>
      </c>
      <c r="I456">
        <v>109.475358</v>
      </c>
      <c r="J456">
        <v>104.71461290000001</v>
      </c>
      <c r="K456">
        <v>111.5609998</v>
      </c>
      <c r="L456">
        <v>118.4073868</v>
      </c>
      <c r="M456" s="5">
        <f>Table1[[#This Row],[AAPL.Close]] -Table1[[#This Row],[AAPL.Open]]</f>
        <v>0.13999900000000309</v>
      </c>
      <c r="N456" s="4">
        <f>(Table1[[#This Row],[AAPL.Close]] - Table1[[#This Row],[AAPL.Open]]) /Table1[[#This Row],[AAPL.Open]]</f>
        <v>1.2749203401315344E-3</v>
      </c>
      <c r="O456" s="4" t="str">
        <f>IF(Table1[[#This Row],[AAPL.Close]] &gt; Table1[[#This Row],[AAPL.Open]], "Up", "Down")</f>
        <v>Up</v>
      </c>
      <c r="P456" s="2" t="s">
        <v>10</v>
      </c>
    </row>
    <row r="457" spans="1:16" x14ac:dyDescent="0.35">
      <c r="A457" s="3">
        <v>42692</v>
      </c>
      <c r="B457" s="2" t="str">
        <f>TEXT(Table1[[#This Row],[Date]],"mmm")</f>
        <v>Nov</v>
      </c>
      <c r="C457" s="1">
        <f>YEAR(Table1[[#This Row],[Date]])</f>
        <v>2016</v>
      </c>
      <c r="D457" s="5">
        <v>109.720001</v>
      </c>
      <c r="E457" s="5">
        <v>110.540001</v>
      </c>
      <c r="F457" s="5">
        <v>109.660004</v>
      </c>
      <c r="G457" s="5">
        <v>110.05999799999999</v>
      </c>
      <c r="H457" s="1">
        <v>28428900</v>
      </c>
      <c r="I457">
        <v>109.584883</v>
      </c>
      <c r="J457">
        <v>104.7692524</v>
      </c>
      <c r="K457">
        <v>111.23549989999999</v>
      </c>
      <c r="L457">
        <v>117.70174729999999</v>
      </c>
      <c r="M457" s="5">
        <f>Table1[[#This Row],[AAPL.Close]] -Table1[[#This Row],[AAPL.Open]]</f>
        <v>0.33999699999999677</v>
      </c>
      <c r="N457" s="4">
        <f>(Table1[[#This Row],[AAPL.Close]] - Table1[[#This Row],[AAPL.Open]]) /Table1[[#This Row],[AAPL.Open]]</f>
        <v>3.0987695670910247E-3</v>
      </c>
      <c r="O457" s="4" t="str">
        <f>IF(Table1[[#This Row],[AAPL.Close]] &gt; Table1[[#This Row],[AAPL.Open]], "Up", "Down")</f>
        <v>Up</v>
      </c>
      <c r="P457" s="2" t="s">
        <v>10</v>
      </c>
    </row>
    <row r="458" spans="1:16" x14ac:dyDescent="0.35">
      <c r="A458" s="3">
        <v>42695</v>
      </c>
      <c r="B458" s="2" t="str">
        <f>TEXT(Table1[[#This Row],[Date]],"mmm")</f>
        <v>Nov</v>
      </c>
      <c r="C458" s="1">
        <f>YEAR(Table1[[#This Row],[Date]])</f>
        <v>2016</v>
      </c>
      <c r="D458" s="5">
        <v>110.120003</v>
      </c>
      <c r="E458" s="5">
        <v>111.989998</v>
      </c>
      <c r="F458" s="5">
        <v>110.010002</v>
      </c>
      <c r="G458" s="5">
        <v>111.730003</v>
      </c>
      <c r="H458" s="1">
        <v>29264600</v>
      </c>
      <c r="I458">
        <v>111.24768</v>
      </c>
      <c r="J458">
        <v>105.1220606</v>
      </c>
      <c r="K458">
        <v>110.9244999</v>
      </c>
      <c r="L458">
        <v>116.7269392</v>
      </c>
      <c r="M458" s="5">
        <f>Table1[[#This Row],[AAPL.Close]] -Table1[[#This Row],[AAPL.Open]]</f>
        <v>1.6099999999999994</v>
      </c>
      <c r="N458" s="4">
        <f>(Table1[[#This Row],[AAPL.Close]] - Table1[[#This Row],[AAPL.Open]]) /Table1[[#This Row],[AAPL.Open]]</f>
        <v>1.46204136954119E-2</v>
      </c>
      <c r="O458" s="4" t="str">
        <f>IF(Table1[[#This Row],[AAPL.Close]] &gt; Table1[[#This Row],[AAPL.Open]], "Up", "Down")</f>
        <v>Up</v>
      </c>
      <c r="P458" s="2" t="s">
        <v>10</v>
      </c>
    </row>
    <row r="459" spans="1:16" x14ac:dyDescent="0.35">
      <c r="A459" s="3">
        <v>42696</v>
      </c>
      <c r="B459" s="2" t="str">
        <f>TEXT(Table1[[#This Row],[Date]],"mmm")</f>
        <v>Nov</v>
      </c>
      <c r="C459" s="1">
        <f>YEAR(Table1[[#This Row],[Date]])</f>
        <v>2016</v>
      </c>
      <c r="D459" s="5">
        <v>111.949997</v>
      </c>
      <c r="E459" s="5">
        <v>112.41999800000001</v>
      </c>
      <c r="F459" s="5">
        <v>111.400002</v>
      </c>
      <c r="G459" s="5">
        <v>111.800003</v>
      </c>
      <c r="H459" s="1">
        <v>25965500</v>
      </c>
      <c r="I459">
        <v>111.31737699999999</v>
      </c>
      <c r="J459">
        <v>105.7677941</v>
      </c>
      <c r="K459">
        <v>110.6195</v>
      </c>
      <c r="L459">
        <v>115.4712059</v>
      </c>
      <c r="M459" s="5">
        <f>Table1[[#This Row],[AAPL.Close]] -Table1[[#This Row],[AAPL.Open]]</f>
        <v>-0.14999399999999241</v>
      </c>
      <c r="N459" s="4">
        <f>(Table1[[#This Row],[AAPL.Close]] - Table1[[#This Row],[AAPL.Open]]) /Table1[[#This Row],[AAPL.Open]]</f>
        <v>-1.3398303172798872E-3</v>
      </c>
      <c r="O459" s="4" t="str">
        <f>IF(Table1[[#This Row],[AAPL.Close]] &gt; Table1[[#This Row],[AAPL.Open]], "Up", "Down")</f>
        <v>Down</v>
      </c>
      <c r="P459" s="2" t="s">
        <v>11</v>
      </c>
    </row>
    <row r="460" spans="1:16" x14ac:dyDescent="0.35">
      <c r="A460" s="3">
        <v>42697</v>
      </c>
      <c r="B460" s="2" t="str">
        <f>TEXT(Table1[[#This Row],[Date]],"mmm")</f>
        <v>Nov</v>
      </c>
      <c r="C460" s="1">
        <f>YEAR(Table1[[#This Row],[Date]])</f>
        <v>2016</v>
      </c>
      <c r="D460" s="5">
        <v>111.360001</v>
      </c>
      <c r="E460" s="5">
        <v>111.510002</v>
      </c>
      <c r="F460" s="5">
        <v>110.33000199999999</v>
      </c>
      <c r="G460" s="5">
        <v>111.230003</v>
      </c>
      <c r="H460" s="1">
        <v>27426400</v>
      </c>
      <c r="I460">
        <v>110.749838</v>
      </c>
      <c r="J460">
        <v>105.97578609999999</v>
      </c>
      <c r="K460">
        <v>110.4273336</v>
      </c>
      <c r="L460">
        <v>114.8788811</v>
      </c>
      <c r="M460" s="5">
        <f>Table1[[#This Row],[AAPL.Close]] -Table1[[#This Row],[AAPL.Open]]</f>
        <v>-0.1299980000000005</v>
      </c>
      <c r="N460" s="4">
        <f>(Table1[[#This Row],[AAPL.Close]] - Table1[[#This Row],[AAPL.Open]]) /Table1[[#This Row],[AAPL.Open]]</f>
        <v>-1.1673670872183316E-3</v>
      </c>
      <c r="O460" s="4" t="str">
        <f>IF(Table1[[#This Row],[AAPL.Close]] &gt; Table1[[#This Row],[AAPL.Open]], "Up", "Down")</f>
        <v>Down</v>
      </c>
      <c r="P460" s="2" t="s">
        <v>11</v>
      </c>
    </row>
    <row r="461" spans="1:16" x14ac:dyDescent="0.35">
      <c r="A461" s="3">
        <v>42699</v>
      </c>
      <c r="B461" s="2" t="str">
        <f>TEXT(Table1[[#This Row],[Date]],"mmm")</f>
        <v>Nov</v>
      </c>
      <c r="C461" s="1">
        <f>YEAR(Table1[[#This Row],[Date]])</f>
        <v>2016</v>
      </c>
      <c r="D461" s="5">
        <v>111.129997</v>
      </c>
      <c r="E461" s="5">
        <v>111.870003</v>
      </c>
      <c r="F461" s="5">
        <v>110.949997</v>
      </c>
      <c r="G461" s="5">
        <v>111.790001</v>
      </c>
      <c r="H461" s="1">
        <v>11475900</v>
      </c>
      <c r="I461">
        <v>111.307418</v>
      </c>
      <c r="J461">
        <v>106.2500685</v>
      </c>
      <c r="K461">
        <v>110.2635002</v>
      </c>
      <c r="L461">
        <v>114.27693189999999</v>
      </c>
      <c r="M461" s="5">
        <f>Table1[[#This Row],[AAPL.Close]] -Table1[[#This Row],[AAPL.Open]]</f>
        <v>0.6600040000000007</v>
      </c>
      <c r="N461" s="4">
        <f>(Table1[[#This Row],[AAPL.Close]] - Table1[[#This Row],[AAPL.Open]]) /Table1[[#This Row],[AAPL.Open]]</f>
        <v>5.939026525844329E-3</v>
      </c>
      <c r="O461" s="4" t="str">
        <f>IF(Table1[[#This Row],[AAPL.Close]] &gt; Table1[[#This Row],[AAPL.Open]], "Up", "Down")</f>
        <v>Up</v>
      </c>
      <c r="P461" s="2" t="s">
        <v>10</v>
      </c>
    </row>
    <row r="462" spans="1:16" x14ac:dyDescent="0.35">
      <c r="A462" s="3">
        <v>42702</v>
      </c>
      <c r="B462" s="2" t="str">
        <f>TEXT(Table1[[#This Row],[Date]],"mmm")</f>
        <v>Nov</v>
      </c>
      <c r="C462" s="1">
        <f>YEAR(Table1[[#This Row],[Date]])</f>
        <v>2016</v>
      </c>
      <c r="D462" s="5">
        <v>111.43</v>
      </c>
      <c r="E462" s="5">
        <v>112.470001</v>
      </c>
      <c r="F462" s="5">
        <v>111.389999</v>
      </c>
      <c r="G462" s="5">
        <v>111.57</v>
      </c>
      <c r="H462" s="1">
        <v>27194000</v>
      </c>
      <c r="I462">
        <v>111.08836700000001</v>
      </c>
      <c r="J462">
        <v>106.4669758</v>
      </c>
      <c r="K462">
        <v>110.1476669</v>
      </c>
      <c r="L462">
        <v>113.8283581</v>
      </c>
      <c r="M462" s="5">
        <f>Table1[[#This Row],[AAPL.Close]] -Table1[[#This Row],[AAPL.Open]]</f>
        <v>0.13999999999998636</v>
      </c>
      <c r="N462" s="4">
        <f>(Table1[[#This Row],[AAPL.Close]] - Table1[[#This Row],[AAPL.Open]]) /Table1[[#This Row],[AAPL.Open]]</f>
        <v>1.2563941487928416E-3</v>
      </c>
      <c r="O462" s="4" t="str">
        <f>IF(Table1[[#This Row],[AAPL.Close]] &gt; Table1[[#This Row],[AAPL.Open]], "Up", "Down")</f>
        <v>Up</v>
      </c>
      <c r="P462" s="2" t="s">
        <v>10</v>
      </c>
    </row>
    <row r="463" spans="1:16" x14ac:dyDescent="0.35">
      <c r="A463" s="3">
        <v>42703</v>
      </c>
      <c r="B463" s="2" t="str">
        <f>TEXT(Table1[[#This Row],[Date]],"mmm")</f>
        <v>Nov</v>
      </c>
      <c r="C463" s="1">
        <f>YEAR(Table1[[#This Row],[Date]])</f>
        <v>2016</v>
      </c>
      <c r="D463" s="5">
        <v>110.779999</v>
      </c>
      <c r="E463" s="5">
        <v>112.029999</v>
      </c>
      <c r="F463" s="5">
        <v>110.07</v>
      </c>
      <c r="G463" s="5">
        <v>111.459999</v>
      </c>
      <c r="H463" s="1">
        <v>28528800</v>
      </c>
      <c r="I463">
        <v>110.978841</v>
      </c>
      <c r="J463">
        <v>106.6715909</v>
      </c>
      <c r="K463">
        <v>110.0241669</v>
      </c>
      <c r="L463">
        <v>113.3767429</v>
      </c>
      <c r="M463" s="5">
        <f>Table1[[#This Row],[AAPL.Close]] -Table1[[#This Row],[AAPL.Open]]</f>
        <v>0.67999999999999261</v>
      </c>
      <c r="N463" s="4">
        <f>(Table1[[#This Row],[AAPL.Close]] - Table1[[#This Row],[AAPL.Open]]) /Table1[[#This Row],[AAPL.Open]]</f>
        <v>6.1382921658989413E-3</v>
      </c>
      <c r="O463" s="4" t="str">
        <f>IF(Table1[[#This Row],[AAPL.Close]] &gt; Table1[[#This Row],[AAPL.Open]], "Up", "Down")</f>
        <v>Up</v>
      </c>
      <c r="P463" s="2" t="s">
        <v>10</v>
      </c>
    </row>
    <row r="464" spans="1:16" x14ac:dyDescent="0.35">
      <c r="A464" s="3">
        <v>42704</v>
      </c>
      <c r="B464" s="2" t="str">
        <f>TEXT(Table1[[#This Row],[Date]],"mmm")</f>
        <v>Nov</v>
      </c>
      <c r="C464" s="1">
        <f>YEAR(Table1[[#This Row],[Date]])</f>
        <v>2016</v>
      </c>
      <c r="D464" s="5">
        <v>111.599998</v>
      </c>
      <c r="E464" s="5">
        <v>112.199997</v>
      </c>
      <c r="F464" s="5">
        <v>110.269997</v>
      </c>
      <c r="G464" s="5">
        <v>110.519997</v>
      </c>
      <c r="H464" s="1">
        <v>36162300</v>
      </c>
      <c r="I464">
        <v>110.042897</v>
      </c>
      <c r="J464">
        <v>106.70736770000001</v>
      </c>
      <c r="K464">
        <v>109.97750019999999</v>
      </c>
      <c r="L464">
        <v>113.2476326</v>
      </c>
      <c r="M464" s="5">
        <f>Table1[[#This Row],[AAPL.Close]] -Table1[[#This Row],[AAPL.Open]]</f>
        <v>-1.0800009999999958</v>
      </c>
      <c r="N464" s="4">
        <f>(Table1[[#This Row],[AAPL.Close]] - Table1[[#This Row],[AAPL.Open]]) /Table1[[#This Row],[AAPL.Open]]</f>
        <v>-9.6774284888427667E-3</v>
      </c>
      <c r="O464" s="4" t="str">
        <f>IF(Table1[[#This Row],[AAPL.Close]] &gt; Table1[[#This Row],[AAPL.Open]], "Up", "Down")</f>
        <v>Down</v>
      </c>
      <c r="P464" s="2" t="s">
        <v>11</v>
      </c>
    </row>
    <row r="465" spans="1:16" x14ac:dyDescent="0.35">
      <c r="A465" s="3">
        <v>42339</v>
      </c>
      <c r="B465" s="2" t="str">
        <f>TEXT(Table1[[#This Row],[Date]],"mmm")</f>
        <v>Dec</v>
      </c>
      <c r="C465" s="1">
        <f>YEAR(Table1[[#This Row],[Date]])</f>
        <v>2015</v>
      </c>
      <c r="D465" s="5">
        <v>118.75</v>
      </c>
      <c r="E465" s="5">
        <v>118.80999799999999</v>
      </c>
      <c r="F465" s="5">
        <v>116.860001</v>
      </c>
      <c r="G465" s="5">
        <v>117.339996</v>
      </c>
      <c r="H465" s="1">
        <v>34852400</v>
      </c>
      <c r="I465">
        <v>114.290588</v>
      </c>
      <c r="J465">
        <v>112.795765</v>
      </c>
      <c r="K465">
        <v>118.0779998</v>
      </c>
      <c r="L465">
        <v>123.3602346</v>
      </c>
      <c r="M465" s="5">
        <f>Table1[[#This Row],[AAPL.Close]] -Table1[[#This Row],[AAPL.Open]]</f>
        <v>-1.4100040000000007</v>
      </c>
      <c r="N465" s="4">
        <f>(Table1[[#This Row],[AAPL.Close]] - Table1[[#This Row],[AAPL.Open]]) /Table1[[#This Row],[AAPL.Open]]</f>
        <v>-1.1873717894736848E-2</v>
      </c>
      <c r="O465" s="4" t="str">
        <f>IF(Table1[[#This Row],[AAPL.Close]] &gt; Table1[[#This Row],[AAPL.Open]], "Up", "Down")</f>
        <v>Down</v>
      </c>
      <c r="P465" s="2" t="s">
        <v>11</v>
      </c>
    </row>
    <row r="466" spans="1:16" x14ac:dyDescent="0.35">
      <c r="A466" s="3">
        <v>42340</v>
      </c>
      <c r="B466" s="2" t="str">
        <f>TEXT(Table1[[#This Row],[Date]],"mmm")</f>
        <v>Dec</v>
      </c>
      <c r="C466" s="1">
        <f>YEAR(Table1[[#This Row],[Date]])</f>
        <v>2015</v>
      </c>
      <c r="D466" s="5">
        <v>117.339996</v>
      </c>
      <c r="E466" s="5">
        <v>118.110001</v>
      </c>
      <c r="F466" s="5">
        <v>116.08000199999999</v>
      </c>
      <c r="G466" s="5">
        <v>116.279999</v>
      </c>
      <c r="H466" s="1">
        <v>33386600</v>
      </c>
      <c r="I466">
        <v>113.258137</v>
      </c>
      <c r="J466">
        <v>112.863291</v>
      </c>
      <c r="K466">
        <v>117.80649990000001</v>
      </c>
      <c r="L466">
        <v>122.74970879999999</v>
      </c>
      <c r="M466" s="5">
        <f>Table1[[#This Row],[AAPL.Close]] -Table1[[#This Row],[AAPL.Open]]</f>
        <v>-1.0599969999999956</v>
      </c>
      <c r="N466" s="4">
        <f>(Table1[[#This Row],[AAPL.Close]] - Table1[[#This Row],[AAPL.Open]]) /Table1[[#This Row],[AAPL.Open]]</f>
        <v>-9.0335523788495405E-3</v>
      </c>
      <c r="O466" s="4" t="str">
        <f>IF(Table1[[#This Row],[AAPL.Close]] &gt; Table1[[#This Row],[AAPL.Open]], "Up", "Down")</f>
        <v>Down</v>
      </c>
      <c r="P466" s="2" t="s">
        <v>11</v>
      </c>
    </row>
    <row r="467" spans="1:16" x14ac:dyDescent="0.35">
      <c r="A467" s="3">
        <v>42341</v>
      </c>
      <c r="B467" s="2" t="str">
        <f>TEXT(Table1[[#This Row],[Date]],"mmm")</f>
        <v>Dec</v>
      </c>
      <c r="C467" s="1">
        <f>YEAR(Table1[[#This Row],[Date]])</f>
        <v>2015</v>
      </c>
      <c r="D467" s="5">
        <v>116.550003</v>
      </c>
      <c r="E467" s="5">
        <v>116.790001</v>
      </c>
      <c r="F467" s="5">
        <v>114.220001</v>
      </c>
      <c r="G467" s="5">
        <v>115.199997</v>
      </c>
      <c r="H467" s="1">
        <v>41569500</v>
      </c>
      <c r="I467">
        <v>112.206202</v>
      </c>
      <c r="J467">
        <v>112.90060750000001</v>
      </c>
      <c r="K467">
        <v>117.45266650000001</v>
      </c>
      <c r="L467">
        <v>122.00472550000001</v>
      </c>
      <c r="M467" s="5">
        <f>Table1[[#This Row],[AAPL.Close]] -Table1[[#This Row],[AAPL.Open]]</f>
        <v>-1.3500060000000076</v>
      </c>
      <c r="N467" s="4">
        <f>(Table1[[#This Row],[AAPL.Close]] - Table1[[#This Row],[AAPL.Open]]) /Table1[[#This Row],[AAPL.Open]]</f>
        <v>-1.1583062764914795E-2</v>
      </c>
      <c r="O467" s="4" t="str">
        <f>IF(Table1[[#This Row],[AAPL.Close]] &gt; Table1[[#This Row],[AAPL.Open]], "Up", "Down")</f>
        <v>Down</v>
      </c>
      <c r="P467" s="2" t="s">
        <v>11</v>
      </c>
    </row>
    <row r="468" spans="1:16" x14ac:dyDescent="0.35">
      <c r="A468" s="3">
        <v>42342</v>
      </c>
      <c r="B468" s="2" t="str">
        <f>TEXT(Table1[[#This Row],[Date]],"mmm")</f>
        <v>Dec</v>
      </c>
      <c r="C468" s="1">
        <f>YEAR(Table1[[#This Row],[Date]])</f>
        <v>2015</v>
      </c>
      <c r="D468" s="5">
        <v>115.290001</v>
      </c>
      <c r="E468" s="5">
        <v>119.25</v>
      </c>
      <c r="F468" s="5">
        <v>115.110001</v>
      </c>
      <c r="G468" s="5">
        <v>119.029999</v>
      </c>
      <c r="H468" s="1">
        <v>57777000</v>
      </c>
      <c r="I468">
        <v>115.936671</v>
      </c>
      <c r="J468">
        <v>113.0697614</v>
      </c>
      <c r="K468">
        <v>117.2793332</v>
      </c>
      <c r="L468">
        <v>121.488905</v>
      </c>
      <c r="M468" s="5">
        <f>Table1[[#This Row],[AAPL.Close]] -Table1[[#This Row],[AAPL.Open]]</f>
        <v>3.7399979999999999</v>
      </c>
      <c r="N468" s="4">
        <f>(Table1[[#This Row],[AAPL.Close]] - Table1[[#This Row],[AAPL.Open]]) /Table1[[#This Row],[AAPL.Open]]</f>
        <v>3.2439916450343338E-2</v>
      </c>
      <c r="O468" s="4" t="str">
        <f>IF(Table1[[#This Row],[AAPL.Close]] &gt; Table1[[#This Row],[AAPL.Open]], "Up", "Down")</f>
        <v>Up</v>
      </c>
      <c r="P468" s="2" t="s">
        <v>10</v>
      </c>
    </row>
    <row r="469" spans="1:16" x14ac:dyDescent="0.35">
      <c r="A469" s="3">
        <v>42345</v>
      </c>
      <c r="B469" s="2" t="str">
        <f>TEXT(Table1[[#This Row],[Date]],"mmm")</f>
        <v>Dec</v>
      </c>
      <c r="C469" s="1">
        <f>YEAR(Table1[[#This Row],[Date]])</f>
        <v>2015</v>
      </c>
      <c r="D469" s="5">
        <v>118.980003</v>
      </c>
      <c r="E469" s="5">
        <v>119.860001</v>
      </c>
      <c r="F469" s="5">
        <v>117.80999799999999</v>
      </c>
      <c r="G469" s="5">
        <v>118.279999</v>
      </c>
      <c r="H469" s="1">
        <v>32084200</v>
      </c>
      <c r="I469">
        <v>115.20616099999999</v>
      </c>
      <c r="J469">
        <v>113.2786207</v>
      </c>
      <c r="K469">
        <v>117.1536665</v>
      </c>
      <c r="L469">
        <v>121.0287123</v>
      </c>
      <c r="M469" s="5">
        <f>Table1[[#This Row],[AAPL.Close]] -Table1[[#This Row],[AAPL.Open]]</f>
        <v>-0.70000399999999274</v>
      </c>
      <c r="N469" s="4">
        <f>(Table1[[#This Row],[AAPL.Close]] - Table1[[#This Row],[AAPL.Open]]) /Table1[[#This Row],[AAPL.Open]]</f>
        <v>-5.8833752088575152E-3</v>
      </c>
      <c r="O469" s="4" t="str">
        <f>IF(Table1[[#This Row],[AAPL.Close]] &gt; Table1[[#This Row],[AAPL.Open]], "Up", "Down")</f>
        <v>Down</v>
      </c>
      <c r="P469" s="2" t="s">
        <v>11</v>
      </c>
    </row>
    <row r="470" spans="1:16" x14ac:dyDescent="0.35">
      <c r="A470" s="3">
        <v>42346</v>
      </c>
      <c r="B470" s="2" t="str">
        <f>TEXT(Table1[[#This Row],[Date]],"mmm")</f>
        <v>Dec</v>
      </c>
      <c r="C470" s="1">
        <f>YEAR(Table1[[#This Row],[Date]])</f>
        <v>2015</v>
      </c>
      <c r="D470" s="5">
        <v>117.519997</v>
      </c>
      <c r="E470" s="5">
        <v>118.599998</v>
      </c>
      <c r="F470" s="5">
        <v>116.860001</v>
      </c>
      <c r="G470" s="5">
        <v>118.230003</v>
      </c>
      <c r="H470" s="1">
        <v>34309500</v>
      </c>
      <c r="I470">
        <v>115.157465</v>
      </c>
      <c r="J470">
        <v>113.49121719999999</v>
      </c>
      <c r="K470">
        <v>117.0079999</v>
      </c>
      <c r="L470">
        <v>120.5247825</v>
      </c>
      <c r="M470" s="5">
        <f>Table1[[#This Row],[AAPL.Close]] -Table1[[#This Row],[AAPL.Open]]</f>
        <v>0.71000599999999281</v>
      </c>
      <c r="N470" s="4">
        <f>(Table1[[#This Row],[AAPL.Close]] - Table1[[#This Row],[AAPL.Open]]) /Table1[[#This Row],[AAPL.Open]]</f>
        <v>6.0415760562008251E-3</v>
      </c>
      <c r="O470" s="4" t="str">
        <f>IF(Table1[[#This Row],[AAPL.Close]] &gt; Table1[[#This Row],[AAPL.Open]], "Up", "Down")</f>
        <v>Up</v>
      </c>
      <c r="P470" s="2" t="s">
        <v>10</v>
      </c>
    </row>
    <row r="471" spans="1:16" x14ac:dyDescent="0.35">
      <c r="A471" s="3">
        <v>42347</v>
      </c>
      <c r="B471" s="2" t="str">
        <f>TEXT(Table1[[#This Row],[Date]],"mmm")</f>
        <v>Dec</v>
      </c>
      <c r="C471" s="1">
        <f>YEAR(Table1[[#This Row],[Date]])</f>
        <v>2015</v>
      </c>
      <c r="D471" s="5">
        <v>117.639999</v>
      </c>
      <c r="E471" s="5">
        <v>117.69000200000001</v>
      </c>
      <c r="F471" s="5">
        <v>115.08000199999999</v>
      </c>
      <c r="G471" s="5">
        <v>115.620003</v>
      </c>
      <c r="H471" s="1">
        <v>46361400</v>
      </c>
      <c r="I471">
        <v>112.61529299999999</v>
      </c>
      <c r="J471">
        <v>113.42856949999999</v>
      </c>
      <c r="K471">
        <v>116.9661667</v>
      </c>
      <c r="L471">
        <v>120.5037639</v>
      </c>
      <c r="M471" s="5">
        <f>Table1[[#This Row],[AAPL.Close]] -Table1[[#This Row],[AAPL.Open]]</f>
        <v>-2.0199960000000061</v>
      </c>
      <c r="N471" s="4">
        <f>(Table1[[#This Row],[AAPL.Close]] - Table1[[#This Row],[AAPL.Open]]) /Table1[[#This Row],[AAPL.Open]]</f>
        <v>-1.7170996405737864E-2</v>
      </c>
      <c r="O471" s="4" t="str">
        <f>IF(Table1[[#This Row],[AAPL.Close]] &gt; Table1[[#This Row],[AAPL.Open]], "Up", "Down")</f>
        <v>Down</v>
      </c>
      <c r="P471" s="2" t="s">
        <v>11</v>
      </c>
    </row>
    <row r="472" spans="1:16" x14ac:dyDescent="0.35">
      <c r="A472" s="3">
        <v>42348</v>
      </c>
      <c r="B472" s="2" t="str">
        <f>TEXT(Table1[[#This Row],[Date]],"mmm")</f>
        <v>Dec</v>
      </c>
      <c r="C472" s="1">
        <f>YEAR(Table1[[#This Row],[Date]])</f>
        <v>2015</v>
      </c>
      <c r="D472" s="5">
        <v>116.040001</v>
      </c>
      <c r="E472" s="5">
        <v>116.94000200000001</v>
      </c>
      <c r="F472" s="5">
        <v>115.510002</v>
      </c>
      <c r="G472" s="5">
        <v>116.16999800000001</v>
      </c>
      <c r="H472" s="1">
        <v>29104200</v>
      </c>
      <c r="I472">
        <v>113.15099499999999</v>
      </c>
      <c r="J472">
        <v>113.42489999999999</v>
      </c>
      <c r="K472">
        <v>116.9641668</v>
      </c>
      <c r="L472">
        <v>120.50343359999999</v>
      </c>
      <c r="M472" s="5">
        <f>Table1[[#This Row],[AAPL.Close]] -Table1[[#This Row],[AAPL.Open]]</f>
        <v>0.12999700000000303</v>
      </c>
      <c r="N472" s="4">
        <f>(Table1[[#This Row],[AAPL.Close]] - Table1[[#This Row],[AAPL.Open]]) /Table1[[#This Row],[AAPL.Open]]</f>
        <v>1.1202774808663008E-3</v>
      </c>
      <c r="O472" s="4" t="str">
        <f>IF(Table1[[#This Row],[AAPL.Close]] &gt; Table1[[#This Row],[AAPL.Open]], "Up", "Down")</f>
        <v>Up</v>
      </c>
      <c r="P472" s="2" t="s">
        <v>10</v>
      </c>
    </row>
    <row r="473" spans="1:16" x14ac:dyDescent="0.35">
      <c r="A473" s="3">
        <v>42349</v>
      </c>
      <c r="B473" s="2" t="str">
        <f>TEXT(Table1[[#This Row],[Date]],"mmm")</f>
        <v>Dec</v>
      </c>
      <c r="C473" s="1">
        <f>YEAR(Table1[[#This Row],[Date]])</f>
        <v>2015</v>
      </c>
      <c r="D473" s="5">
        <v>115.19000200000001</v>
      </c>
      <c r="E473" s="5">
        <v>115.389999</v>
      </c>
      <c r="F473" s="5">
        <v>112.849998</v>
      </c>
      <c r="G473" s="5">
        <v>113.18</v>
      </c>
      <c r="H473" s="1">
        <v>46886200</v>
      </c>
      <c r="I473">
        <v>110.23870100000001</v>
      </c>
      <c r="J473">
        <v>113.06885440000001</v>
      </c>
      <c r="K473">
        <v>116.8513334</v>
      </c>
      <c r="L473">
        <v>120.6338123</v>
      </c>
      <c r="M473" s="5">
        <f>Table1[[#This Row],[AAPL.Close]] -Table1[[#This Row],[AAPL.Open]]</f>
        <v>-2.0100020000000001</v>
      </c>
      <c r="N473" s="4">
        <f>(Table1[[#This Row],[AAPL.Close]] - Table1[[#This Row],[AAPL.Open]]) /Table1[[#This Row],[AAPL.Open]]</f>
        <v>-1.7449448433901407E-2</v>
      </c>
      <c r="O473" s="4" t="str">
        <f>IF(Table1[[#This Row],[AAPL.Close]] &gt; Table1[[#This Row],[AAPL.Open]], "Up", "Down")</f>
        <v>Down</v>
      </c>
      <c r="P473" s="2" t="s">
        <v>11</v>
      </c>
    </row>
    <row r="474" spans="1:16" x14ac:dyDescent="0.35">
      <c r="A474" s="3">
        <v>42352</v>
      </c>
      <c r="B474" s="2" t="str">
        <f>TEXT(Table1[[#This Row],[Date]],"mmm")</f>
        <v>Dec</v>
      </c>
      <c r="C474" s="1">
        <f>YEAR(Table1[[#This Row],[Date]])</f>
        <v>2015</v>
      </c>
      <c r="D474" s="5">
        <v>112.18</v>
      </c>
      <c r="E474" s="5">
        <v>112.68</v>
      </c>
      <c r="F474" s="5">
        <v>109.790001</v>
      </c>
      <c r="G474" s="5">
        <v>112.480003</v>
      </c>
      <c r="H474" s="1">
        <v>64318700</v>
      </c>
      <c r="I474">
        <v>109.556895</v>
      </c>
      <c r="J474">
        <v>112.60532449999999</v>
      </c>
      <c r="K474">
        <v>116.76416690000001</v>
      </c>
      <c r="L474">
        <v>120.9230092</v>
      </c>
      <c r="M474" s="5">
        <f>Table1[[#This Row],[AAPL.Close]] -Table1[[#This Row],[AAPL.Open]]</f>
        <v>0.30000299999998958</v>
      </c>
      <c r="N474" s="4">
        <f>(Table1[[#This Row],[AAPL.Close]] - Table1[[#This Row],[AAPL.Open]]) /Table1[[#This Row],[AAPL.Open]]</f>
        <v>2.6743002317702758E-3</v>
      </c>
      <c r="O474" s="4" t="str">
        <f>IF(Table1[[#This Row],[AAPL.Close]] &gt; Table1[[#This Row],[AAPL.Open]], "Up", "Down")</f>
        <v>Up</v>
      </c>
      <c r="P474" s="2" t="s">
        <v>10</v>
      </c>
    </row>
    <row r="475" spans="1:16" x14ac:dyDescent="0.35">
      <c r="A475" s="3">
        <v>42353</v>
      </c>
      <c r="B475" s="2" t="str">
        <f>TEXT(Table1[[#This Row],[Date]],"mmm")</f>
        <v>Dec</v>
      </c>
      <c r="C475" s="1">
        <f>YEAR(Table1[[#This Row],[Date]])</f>
        <v>2015</v>
      </c>
      <c r="D475" s="5">
        <v>111.94000200000001</v>
      </c>
      <c r="E475" s="5">
        <v>112.800003</v>
      </c>
      <c r="F475" s="5">
        <v>110.349998</v>
      </c>
      <c r="G475" s="5">
        <v>110.489998</v>
      </c>
      <c r="H475" s="1">
        <v>53323100</v>
      </c>
      <c r="I475">
        <v>107.618605</v>
      </c>
      <c r="J475">
        <v>112.10775870000001</v>
      </c>
      <c r="K475">
        <v>116.66783359999999</v>
      </c>
      <c r="L475">
        <v>121.2279084</v>
      </c>
      <c r="M475" s="5">
        <f>Table1[[#This Row],[AAPL.Close]] -Table1[[#This Row],[AAPL.Open]]</f>
        <v>-1.450004000000007</v>
      </c>
      <c r="N475" s="4">
        <f>(Table1[[#This Row],[AAPL.Close]] - Table1[[#This Row],[AAPL.Open]]) /Table1[[#This Row],[AAPL.Open]]</f>
        <v>-1.2953403377641594E-2</v>
      </c>
      <c r="O475" s="4" t="str">
        <f>IF(Table1[[#This Row],[AAPL.Close]] &gt; Table1[[#This Row],[AAPL.Open]], "Up", "Down")</f>
        <v>Down</v>
      </c>
      <c r="P475" s="2" t="s">
        <v>11</v>
      </c>
    </row>
    <row r="476" spans="1:16" x14ac:dyDescent="0.35">
      <c r="A476" s="3">
        <v>42354</v>
      </c>
      <c r="B476" s="2" t="str">
        <f>TEXT(Table1[[#This Row],[Date]],"mmm")</f>
        <v>Dec</v>
      </c>
      <c r="C476" s="1">
        <f>YEAR(Table1[[#This Row],[Date]])</f>
        <v>2015</v>
      </c>
      <c r="D476" s="5">
        <v>111.07</v>
      </c>
      <c r="E476" s="5">
        <v>111.989998</v>
      </c>
      <c r="F476" s="5">
        <v>108.800003</v>
      </c>
      <c r="G476" s="5">
        <v>111.339996</v>
      </c>
      <c r="H476" s="1">
        <v>56238500</v>
      </c>
      <c r="I476">
        <v>108.44651399999999</v>
      </c>
      <c r="J476">
        <v>111.3660237</v>
      </c>
      <c r="K476">
        <v>116.5023334</v>
      </c>
      <c r="L476">
        <v>121.6386431</v>
      </c>
      <c r="M476" s="5">
        <f>Table1[[#This Row],[AAPL.Close]] -Table1[[#This Row],[AAPL.Open]]</f>
        <v>0.26999600000000612</v>
      </c>
      <c r="N476" s="4">
        <f>(Table1[[#This Row],[AAPL.Close]] - Table1[[#This Row],[AAPL.Open]]) /Table1[[#This Row],[AAPL.Open]]</f>
        <v>2.4308634194652574E-3</v>
      </c>
      <c r="O476" s="4" t="str">
        <f>IF(Table1[[#This Row],[AAPL.Close]] &gt; Table1[[#This Row],[AAPL.Open]], "Up", "Down")</f>
        <v>Up</v>
      </c>
      <c r="P476" s="2" t="s">
        <v>10</v>
      </c>
    </row>
    <row r="477" spans="1:16" x14ac:dyDescent="0.35">
      <c r="A477" s="3">
        <v>42355</v>
      </c>
      <c r="B477" s="2" t="str">
        <f>TEXT(Table1[[#This Row],[Date]],"mmm")</f>
        <v>Dec</v>
      </c>
      <c r="C477" s="1">
        <f>YEAR(Table1[[#This Row],[Date]])</f>
        <v>2015</v>
      </c>
      <c r="D477" s="5">
        <v>112.019997</v>
      </c>
      <c r="E477" s="5">
        <v>112.25</v>
      </c>
      <c r="F477" s="5">
        <v>108.980003</v>
      </c>
      <c r="G477" s="5">
        <v>108.980003</v>
      </c>
      <c r="H477" s="1">
        <v>44772800</v>
      </c>
      <c r="I477">
        <v>106.147852</v>
      </c>
      <c r="J477">
        <v>110.3201147</v>
      </c>
      <c r="K477">
        <v>116.1678335</v>
      </c>
      <c r="L477">
        <v>122.0155524</v>
      </c>
      <c r="M477" s="5">
        <f>Table1[[#This Row],[AAPL.Close]] -Table1[[#This Row],[AAPL.Open]]</f>
        <v>-3.0399940000000072</v>
      </c>
      <c r="N477" s="4">
        <f>(Table1[[#This Row],[AAPL.Close]] - Table1[[#This Row],[AAPL.Open]]) /Table1[[#This Row],[AAPL.Open]]</f>
        <v>-2.7137958234367807E-2</v>
      </c>
      <c r="O477" s="4" t="str">
        <f>IF(Table1[[#This Row],[AAPL.Close]] &gt; Table1[[#This Row],[AAPL.Open]], "Up", "Down")</f>
        <v>Down</v>
      </c>
      <c r="P477" s="2" t="s">
        <v>11</v>
      </c>
    </row>
    <row r="478" spans="1:16" x14ac:dyDescent="0.35">
      <c r="A478" s="3">
        <v>42356</v>
      </c>
      <c r="B478" s="2" t="str">
        <f>TEXT(Table1[[#This Row],[Date]],"mmm")</f>
        <v>Dec</v>
      </c>
      <c r="C478" s="1">
        <f>YEAR(Table1[[#This Row],[Date]])</f>
        <v>2015</v>
      </c>
      <c r="D478" s="5">
        <v>108.910004</v>
      </c>
      <c r="E478" s="5">
        <v>109.519997</v>
      </c>
      <c r="F478" s="5">
        <v>105.80999799999999</v>
      </c>
      <c r="G478" s="5">
        <v>106.029999</v>
      </c>
      <c r="H478" s="1">
        <v>96453300</v>
      </c>
      <c r="I478">
        <v>103.274512</v>
      </c>
      <c r="J478">
        <v>108.6549713</v>
      </c>
      <c r="K478">
        <v>115.60233340000001</v>
      </c>
      <c r="L478">
        <v>122.5496955</v>
      </c>
      <c r="M478" s="5">
        <f>Table1[[#This Row],[AAPL.Close]] -Table1[[#This Row],[AAPL.Open]]</f>
        <v>-2.880004999999997</v>
      </c>
      <c r="N478" s="4">
        <f>(Table1[[#This Row],[AAPL.Close]] - Table1[[#This Row],[AAPL.Open]]) /Table1[[#This Row],[AAPL.Open]]</f>
        <v>-2.6443897660677684E-2</v>
      </c>
      <c r="O478" s="4" t="str">
        <f>IF(Table1[[#This Row],[AAPL.Close]] &gt; Table1[[#This Row],[AAPL.Open]], "Up", "Down")</f>
        <v>Down</v>
      </c>
      <c r="P478" s="2" t="s">
        <v>11</v>
      </c>
    </row>
    <row r="479" spans="1:16" x14ac:dyDescent="0.35">
      <c r="A479" s="3">
        <v>42359</v>
      </c>
      <c r="B479" s="2" t="str">
        <f>TEXT(Table1[[#This Row],[Date]],"mmm")</f>
        <v>Dec</v>
      </c>
      <c r="C479" s="1">
        <f>YEAR(Table1[[#This Row],[Date]])</f>
        <v>2015</v>
      </c>
      <c r="D479" s="5">
        <v>107.279999</v>
      </c>
      <c r="E479" s="5">
        <v>107.370003</v>
      </c>
      <c r="F479" s="5">
        <v>105.57</v>
      </c>
      <c r="G479" s="5">
        <v>107.33000199999999</v>
      </c>
      <c r="H479" s="1">
        <v>47590600</v>
      </c>
      <c r="I479">
        <v>104.54073099999999</v>
      </c>
      <c r="J479">
        <v>107.25816500000001</v>
      </c>
      <c r="K479">
        <v>114.9723335</v>
      </c>
      <c r="L479">
        <v>122.686502</v>
      </c>
      <c r="M479" s="5">
        <f>Table1[[#This Row],[AAPL.Close]] -Table1[[#This Row],[AAPL.Open]]</f>
        <v>5.0002999999989584E-2</v>
      </c>
      <c r="N479" s="4">
        <f>(Table1[[#This Row],[AAPL.Close]] - Table1[[#This Row],[AAPL.Open]]) /Table1[[#This Row],[AAPL.Open]]</f>
        <v>4.6609806549298703E-4</v>
      </c>
      <c r="O479" s="4" t="str">
        <f>IF(Table1[[#This Row],[AAPL.Close]] &gt; Table1[[#This Row],[AAPL.Open]], "Up", "Down")</f>
        <v>Up</v>
      </c>
      <c r="P479" s="2" t="s">
        <v>10</v>
      </c>
    </row>
    <row r="480" spans="1:16" x14ac:dyDescent="0.35">
      <c r="A480" s="3">
        <v>42360</v>
      </c>
      <c r="B480" s="2" t="str">
        <f>TEXT(Table1[[#This Row],[Date]],"mmm")</f>
        <v>Dec</v>
      </c>
      <c r="C480" s="1">
        <f>YEAR(Table1[[#This Row],[Date]])</f>
        <v>2015</v>
      </c>
      <c r="D480" s="5">
        <v>107.400002</v>
      </c>
      <c r="E480" s="5">
        <v>107.720001</v>
      </c>
      <c r="F480" s="5">
        <v>106.449997</v>
      </c>
      <c r="G480" s="5">
        <v>107.230003</v>
      </c>
      <c r="H480" s="1">
        <v>32789400</v>
      </c>
      <c r="I480">
        <v>104.443331</v>
      </c>
      <c r="J480">
        <v>106.1462306</v>
      </c>
      <c r="K480">
        <v>114.4153336</v>
      </c>
      <c r="L480">
        <v>122.6844365</v>
      </c>
      <c r="M480" s="5">
        <f>Table1[[#This Row],[AAPL.Close]] -Table1[[#This Row],[AAPL.Open]]</f>
        <v>-0.16999900000000423</v>
      </c>
      <c r="N480" s="4">
        <f>(Table1[[#This Row],[AAPL.Close]] - Table1[[#This Row],[AAPL.Open]]) /Table1[[#This Row],[AAPL.Open]]</f>
        <v>-1.5828584435222284E-3</v>
      </c>
      <c r="O480" s="4" t="str">
        <f>IF(Table1[[#This Row],[AAPL.Close]] &gt; Table1[[#This Row],[AAPL.Open]], "Up", "Down")</f>
        <v>Down</v>
      </c>
      <c r="P480" s="2" t="s">
        <v>11</v>
      </c>
    </row>
    <row r="481" spans="1:16" x14ac:dyDescent="0.35">
      <c r="A481" s="3">
        <v>42361</v>
      </c>
      <c r="B481" s="2" t="str">
        <f>TEXT(Table1[[#This Row],[Date]],"mmm")</f>
        <v>Dec</v>
      </c>
      <c r="C481" s="1">
        <f>YEAR(Table1[[#This Row],[Date]])</f>
        <v>2015</v>
      </c>
      <c r="D481" s="5">
        <v>107.269997</v>
      </c>
      <c r="E481" s="5">
        <v>108.849998</v>
      </c>
      <c r="F481" s="5">
        <v>107.199997</v>
      </c>
      <c r="G481" s="5">
        <v>108.610001</v>
      </c>
      <c r="H481" s="1">
        <v>32657400</v>
      </c>
      <c r="I481">
        <v>105.787465</v>
      </c>
      <c r="J481">
        <v>105.4331627</v>
      </c>
      <c r="K481">
        <v>113.9038335</v>
      </c>
      <c r="L481">
        <v>122.3745043</v>
      </c>
      <c r="M481" s="5">
        <f>Table1[[#This Row],[AAPL.Close]] -Table1[[#This Row],[AAPL.Open]]</f>
        <v>1.3400039999999933</v>
      </c>
      <c r="N481" s="4">
        <f>(Table1[[#This Row],[AAPL.Close]] - Table1[[#This Row],[AAPL.Open]]) /Table1[[#This Row],[AAPL.Open]]</f>
        <v>1.2491880651399601E-2</v>
      </c>
      <c r="O481" s="4" t="str">
        <f>IF(Table1[[#This Row],[AAPL.Close]] &gt; Table1[[#This Row],[AAPL.Open]], "Up", "Down")</f>
        <v>Up</v>
      </c>
      <c r="P481" s="2" t="s">
        <v>10</v>
      </c>
    </row>
    <row r="482" spans="1:16" x14ac:dyDescent="0.35">
      <c r="A482" s="3">
        <v>42362</v>
      </c>
      <c r="B482" s="2" t="str">
        <f>TEXT(Table1[[#This Row],[Date]],"mmm")</f>
        <v>Dec</v>
      </c>
      <c r="C482" s="1">
        <f>YEAR(Table1[[#This Row],[Date]])</f>
        <v>2015</v>
      </c>
      <c r="D482" s="5">
        <v>109</v>
      </c>
      <c r="E482" s="5">
        <v>109</v>
      </c>
      <c r="F482" s="5">
        <v>107.949997</v>
      </c>
      <c r="G482" s="5">
        <v>108.029999</v>
      </c>
      <c r="H482" s="1">
        <v>13570400</v>
      </c>
      <c r="I482">
        <v>105.22253600000001</v>
      </c>
      <c r="J482">
        <v>104.86066839999999</v>
      </c>
      <c r="K482">
        <v>113.4005001</v>
      </c>
      <c r="L482">
        <v>121.9403318</v>
      </c>
      <c r="M482" s="5">
        <f>Table1[[#This Row],[AAPL.Close]] -Table1[[#This Row],[AAPL.Open]]</f>
        <v>-0.97000099999999634</v>
      </c>
      <c r="N482" s="4">
        <f>(Table1[[#This Row],[AAPL.Close]] - Table1[[#This Row],[AAPL.Open]]) /Table1[[#This Row],[AAPL.Open]]</f>
        <v>-8.8990917431192324E-3</v>
      </c>
      <c r="O482" s="4" t="str">
        <f>IF(Table1[[#This Row],[AAPL.Close]] &gt; Table1[[#This Row],[AAPL.Open]], "Up", "Down")</f>
        <v>Down</v>
      </c>
      <c r="P482" s="2" t="s">
        <v>11</v>
      </c>
    </row>
    <row r="483" spans="1:16" x14ac:dyDescent="0.35">
      <c r="A483" s="3">
        <v>42366</v>
      </c>
      <c r="B483" s="2" t="str">
        <f>TEXT(Table1[[#This Row],[Date]],"mmm")</f>
        <v>Dec</v>
      </c>
      <c r="C483" s="1">
        <f>YEAR(Table1[[#This Row],[Date]])</f>
        <v>2015</v>
      </c>
      <c r="D483" s="5">
        <v>107.589996</v>
      </c>
      <c r="E483" s="5">
        <v>107.69000200000001</v>
      </c>
      <c r="F483" s="5">
        <v>106.18</v>
      </c>
      <c r="G483" s="5">
        <v>106.82</v>
      </c>
      <c r="H483" s="1">
        <v>26704200</v>
      </c>
      <c r="I483">
        <v>104.043982</v>
      </c>
      <c r="J483">
        <v>104.1277985</v>
      </c>
      <c r="K483">
        <v>112.8483335</v>
      </c>
      <c r="L483">
        <v>121.5688684</v>
      </c>
      <c r="M483" s="5">
        <f>Table1[[#This Row],[AAPL.Close]] -Table1[[#This Row],[AAPL.Open]]</f>
        <v>-0.76999600000000612</v>
      </c>
      <c r="N483" s="4">
        <f>(Table1[[#This Row],[AAPL.Close]] - Table1[[#This Row],[AAPL.Open]]) /Table1[[#This Row],[AAPL.Open]]</f>
        <v>-7.1567620469100693E-3</v>
      </c>
      <c r="O483" s="4" t="str">
        <f>IF(Table1[[#This Row],[AAPL.Close]] &gt; Table1[[#This Row],[AAPL.Open]], "Up", "Down")</f>
        <v>Down</v>
      </c>
      <c r="P483" s="2" t="s">
        <v>11</v>
      </c>
    </row>
    <row r="484" spans="1:16" x14ac:dyDescent="0.35">
      <c r="A484" s="3">
        <v>42367</v>
      </c>
      <c r="B484" s="2" t="str">
        <f>TEXT(Table1[[#This Row],[Date]],"mmm")</f>
        <v>Dec</v>
      </c>
      <c r="C484" s="1">
        <f>YEAR(Table1[[#This Row],[Date]])</f>
        <v>2015</v>
      </c>
      <c r="D484" s="5">
        <v>106.959999</v>
      </c>
      <c r="E484" s="5">
        <v>109.43</v>
      </c>
      <c r="F484" s="5">
        <v>106.860001</v>
      </c>
      <c r="G484" s="5">
        <v>108.739998</v>
      </c>
      <c r="H484" s="1">
        <v>30931200</v>
      </c>
      <c r="I484">
        <v>105.914084</v>
      </c>
      <c r="J484">
        <v>103.8135822</v>
      </c>
      <c r="K484">
        <v>112.3411667</v>
      </c>
      <c r="L484">
        <v>120.86875120000001</v>
      </c>
      <c r="M484" s="5">
        <f>Table1[[#This Row],[AAPL.Close]] -Table1[[#This Row],[AAPL.Open]]</f>
        <v>1.7799990000000037</v>
      </c>
      <c r="N484" s="4">
        <f>(Table1[[#This Row],[AAPL.Close]] - Table1[[#This Row],[AAPL.Open]]) /Table1[[#This Row],[AAPL.Open]]</f>
        <v>1.6641726034421558E-2</v>
      </c>
      <c r="O484" s="4" t="str">
        <f>IF(Table1[[#This Row],[AAPL.Close]] &gt; Table1[[#This Row],[AAPL.Open]], "Up", "Down")</f>
        <v>Up</v>
      </c>
      <c r="P484" s="2" t="s">
        <v>10</v>
      </c>
    </row>
    <row r="485" spans="1:16" x14ac:dyDescent="0.35">
      <c r="A485" s="3">
        <v>42368</v>
      </c>
      <c r="B485" s="2" t="str">
        <f>TEXT(Table1[[#This Row],[Date]],"mmm")</f>
        <v>Dec</v>
      </c>
      <c r="C485" s="1">
        <f>YEAR(Table1[[#This Row],[Date]])</f>
        <v>2015</v>
      </c>
      <c r="D485" s="5">
        <v>108.58000199999999</v>
      </c>
      <c r="E485" s="5">
        <v>108.699997</v>
      </c>
      <c r="F485" s="5">
        <v>107.18</v>
      </c>
      <c r="G485" s="5">
        <v>107.32</v>
      </c>
      <c r="H485" s="1">
        <v>25213800</v>
      </c>
      <c r="I485">
        <v>104.53098900000001</v>
      </c>
      <c r="J485">
        <v>103.45985589999999</v>
      </c>
      <c r="K485">
        <v>111.8443334</v>
      </c>
      <c r="L485">
        <v>120.22881080000001</v>
      </c>
      <c r="M485" s="5">
        <f>Table1[[#This Row],[AAPL.Close]] -Table1[[#This Row],[AAPL.Open]]</f>
        <v>-1.2600020000000001</v>
      </c>
      <c r="N485" s="4">
        <f>(Table1[[#This Row],[AAPL.Close]] - Table1[[#This Row],[AAPL.Open]]) /Table1[[#This Row],[AAPL.Open]]</f>
        <v>-1.1604365231085555E-2</v>
      </c>
      <c r="O485" s="4" t="str">
        <f>IF(Table1[[#This Row],[AAPL.Close]] &gt; Table1[[#This Row],[AAPL.Open]], "Up", "Down")</f>
        <v>Down</v>
      </c>
      <c r="P485" s="2" t="s">
        <v>11</v>
      </c>
    </row>
    <row r="486" spans="1:16" x14ac:dyDescent="0.35">
      <c r="A486" s="3">
        <v>42369</v>
      </c>
      <c r="B486" s="2" t="str">
        <f>TEXT(Table1[[#This Row],[Date]],"mmm")</f>
        <v>Dec</v>
      </c>
      <c r="C486" s="1">
        <f>YEAR(Table1[[#This Row],[Date]])</f>
        <v>2015</v>
      </c>
      <c r="D486" s="5">
        <v>107.010002</v>
      </c>
      <c r="E486" s="5">
        <v>107.029999</v>
      </c>
      <c r="F486" s="5">
        <v>104.82</v>
      </c>
      <c r="G486" s="5">
        <v>105.260002</v>
      </c>
      <c r="H486" s="1">
        <v>40635300</v>
      </c>
      <c r="I486">
        <v>102.52452599999999</v>
      </c>
      <c r="J486">
        <v>102.8238662</v>
      </c>
      <c r="K486">
        <v>111.2883334</v>
      </c>
      <c r="L486">
        <v>119.75280050000001</v>
      </c>
      <c r="M486" s="5">
        <f>Table1[[#This Row],[AAPL.Close]] -Table1[[#This Row],[AAPL.Open]]</f>
        <v>-1.75</v>
      </c>
      <c r="N486" s="4">
        <f>(Table1[[#This Row],[AAPL.Close]] - Table1[[#This Row],[AAPL.Open]]) /Table1[[#This Row],[AAPL.Open]]</f>
        <v>-1.6353611506333774E-2</v>
      </c>
      <c r="O486" s="4" t="str">
        <f>IF(Table1[[#This Row],[AAPL.Close]] &gt; Table1[[#This Row],[AAPL.Open]], "Up", "Down")</f>
        <v>Down</v>
      </c>
      <c r="P486" s="2" t="s">
        <v>11</v>
      </c>
    </row>
    <row r="487" spans="1:16" x14ac:dyDescent="0.35">
      <c r="A487" s="3">
        <v>42705</v>
      </c>
      <c r="B487" s="2" t="str">
        <f>TEXT(Table1[[#This Row],[Date]],"mmm")</f>
        <v>Dec</v>
      </c>
      <c r="C487" s="1">
        <f>YEAR(Table1[[#This Row],[Date]])</f>
        <v>2016</v>
      </c>
      <c r="D487" s="5">
        <v>110.370003</v>
      </c>
      <c r="E487" s="5">
        <v>110.94000200000001</v>
      </c>
      <c r="F487" s="5">
        <v>109.029999</v>
      </c>
      <c r="G487" s="5">
        <v>109.489998</v>
      </c>
      <c r="H487" s="1">
        <v>37086900</v>
      </c>
      <c r="I487">
        <v>109.01734399999999</v>
      </c>
      <c r="J487">
        <v>106.7117004</v>
      </c>
      <c r="K487">
        <v>109.8823335</v>
      </c>
      <c r="L487">
        <v>113.0529667</v>
      </c>
      <c r="M487" s="5">
        <f>Table1[[#This Row],[AAPL.Close]] -Table1[[#This Row],[AAPL.Open]]</f>
        <v>-0.88000499999999704</v>
      </c>
      <c r="N487" s="4">
        <f>(Table1[[#This Row],[AAPL.Close]] - Table1[[#This Row],[AAPL.Open]]) /Table1[[#This Row],[AAPL.Open]]</f>
        <v>-7.9732262035002131E-3</v>
      </c>
      <c r="O487" s="4" t="str">
        <f>IF(Table1[[#This Row],[AAPL.Close]] &gt; Table1[[#This Row],[AAPL.Open]], "Up", "Down")</f>
        <v>Down</v>
      </c>
      <c r="P487" s="2" t="s">
        <v>11</v>
      </c>
    </row>
    <row r="488" spans="1:16" x14ac:dyDescent="0.35">
      <c r="A488" s="3">
        <v>42706</v>
      </c>
      <c r="B488" s="2" t="str">
        <f>TEXT(Table1[[#This Row],[Date]],"mmm")</f>
        <v>Dec</v>
      </c>
      <c r="C488" s="1">
        <f>YEAR(Table1[[#This Row],[Date]])</f>
        <v>2016</v>
      </c>
      <c r="D488" s="5">
        <v>109.16999800000001</v>
      </c>
      <c r="E488" s="5">
        <v>110.089996</v>
      </c>
      <c r="F488" s="5">
        <v>108.849998</v>
      </c>
      <c r="G488" s="5">
        <v>109.900002</v>
      </c>
      <c r="H488" s="1">
        <v>26528000</v>
      </c>
      <c r="I488">
        <v>109.425578</v>
      </c>
      <c r="J488">
        <v>106.681775</v>
      </c>
      <c r="K488">
        <v>109.8490001</v>
      </c>
      <c r="L488">
        <v>113.0162251</v>
      </c>
      <c r="M488" s="5">
        <f>Table1[[#This Row],[AAPL.Close]] -Table1[[#This Row],[AAPL.Open]]</f>
        <v>0.73000399999999388</v>
      </c>
      <c r="N488" s="4">
        <f>(Table1[[#This Row],[AAPL.Close]] - Table1[[#This Row],[AAPL.Open]]) /Table1[[#This Row],[AAPL.Open]]</f>
        <v>6.6868554856984964E-3</v>
      </c>
      <c r="O488" s="4" t="str">
        <f>IF(Table1[[#This Row],[AAPL.Close]] &gt; Table1[[#This Row],[AAPL.Open]], "Up", "Down")</f>
        <v>Up</v>
      </c>
      <c r="P488" s="2" t="s">
        <v>10</v>
      </c>
    </row>
    <row r="489" spans="1:16" x14ac:dyDescent="0.35">
      <c r="A489" s="3">
        <v>42709</v>
      </c>
      <c r="B489" s="2" t="str">
        <f>TEXT(Table1[[#This Row],[Date]],"mmm")</f>
        <v>Dec</v>
      </c>
      <c r="C489" s="1">
        <f>YEAR(Table1[[#This Row],[Date]])</f>
        <v>2016</v>
      </c>
      <c r="D489" s="5">
        <v>110</v>
      </c>
      <c r="E489" s="5">
        <v>110.029999</v>
      </c>
      <c r="F489" s="5">
        <v>108.25</v>
      </c>
      <c r="G489" s="5">
        <v>109.110001</v>
      </c>
      <c r="H489" s="1">
        <v>34324500</v>
      </c>
      <c r="I489">
        <v>108.638987</v>
      </c>
      <c r="J489">
        <v>106.6879517</v>
      </c>
      <c r="K489">
        <v>109.85216680000001</v>
      </c>
      <c r="L489">
        <v>113.0163819</v>
      </c>
      <c r="M489" s="5">
        <f>Table1[[#This Row],[AAPL.Close]] -Table1[[#This Row],[AAPL.Open]]</f>
        <v>-0.88999900000000309</v>
      </c>
      <c r="N489" s="4">
        <f>(Table1[[#This Row],[AAPL.Close]] - Table1[[#This Row],[AAPL.Open]]) /Table1[[#This Row],[AAPL.Open]]</f>
        <v>-8.0909000000000276E-3</v>
      </c>
      <c r="O489" s="4" t="str">
        <f>IF(Table1[[#This Row],[AAPL.Close]] &gt; Table1[[#This Row],[AAPL.Open]], "Up", "Down")</f>
        <v>Down</v>
      </c>
      <c r="P489" s="2" t="s">
        <v>11</v>
      </c>
    </row>
    <row r="490" spans="1:16" x14ac:dyDescent="0.35">
      <c r="A490" s="3">
        <v>42710</v>
      </c>
      <c r="B490" s="2" t="str">
        <f>TEXT(Table1[[#This Row],[Date]],"mmm")</f>
        <v>Dec</v>
      </c>
      <c r="C490" s="1">
        <f>YEAR(Table1[[#This Row],[Date]])</f>
        <v>2016</v>
      </c>
      <c r="D490" s="5">
        <v>109.5</v>
      </c>
      <c r="E490" s="5">
        <v>110.360001</v>
      </c>
      <c r="F490" s="5">
        <v>109.19000200000001</v>
      </c>
      <c r="G490" s="5">
        <v>109.949997</v>
      </c>
      <c r="H490" s="1">
        <v>26195500</v>
      </c>
      <c r="I490">
        <v>109.475358</v>
      </c>
      <c r="J490">
        <v>106.675792</v>
      </c>
      <c r="K490">
        <v>109.83750000000001</v>
      </c>
      <c r="L490">
        <v>112.9992081</v>
      </c>
      <c r="M490" s="5">
        <f>Table1[[#This Row],[AAPL.Close]] -Table1[[#This Row],[AAPL.Open]]</f>
        <v>0.44999699999999621</v>
      </c>
      <c r="N490" s="4">
        <f>(Table1[[#This Row],[AAPL.Close]] - Table1[[#This Row],[AAPL.Open]]) /Table1[[#This Row],[AAPL.Open]]</f>
        <v>4.1095616438355815E-3</v>
      </c>
      <c r="O490" s="4" t="str">
        <f>IF(Table1[[#This Row],[AAPL.Close]] &gt; Table1[[#This Row],[AAPL.Open]], "Up", "Down")</f>
        <v>Up</v>
      </c>
      <c r="P490" s="2" t="s">
        <v>10</v>
      </c>
    </row>
    <row r="491" spans="1:16" x14ac:dyDescent="0.35">
      <c r="A491" s="3">
        <v>42711</v>
      </c>
      <c r="B491" s="2" t="str">
        <f>TEXT(Table1[[#This Row],[Date]],"mmm")</f>
        <v>Dec</v>
      </c>
      <c r="C491" s="1">
        <f>YEAR(Table1[[#This Row],[Date]])</f>
        <v>2016</v>
      </c>
      <c r="D491" s="5">
        <v>109.260002</v>
      </c>
      <c r="E491" s="5">
        <v>111.19000200000001</v>
      </c>
      <c r="F491" s="5">
        <v>109.160004</v>
      </c>
      <c r="G491" s="5">
        <v>111.029999</v>
      </c>
      <c r="H491" s="1">
        <v>29998700</v>
      </c>
      <c r="I491">
        <v>110.550697</v>
      </c>
      <c r="J491">
        <v>106.67641879999999</v>
      </c>
      <c r="K491">
        <v>109.8191669</v>
      </c>
      <c r="L491">
        <v>112.9619149</v>
      </c>
      <c r="M491" s="5">
        <f>Table1[[#This Row],[AAPL.Close]] -Table1[[#This Row],[AAPL.Open]]</f>
        <v>1.7699970000000036</v>
      </c>
      <c r="N491" s="4">
        <f>(Table1[[#This Row],[AAPL.Close]] - Table1[[#This Row],[AAPL.Open]]) /Table1[[#This Row],[AAPL.Open]]</f>
        <v>1.6199862416257357E-2</v>
      </c>
      <c r="O491" s="4" t="str">
        <f>IF(Table1[[#This Row],[AAPL.Close]] &gt; Table1[[#This Row],[AAPL.Open]], "Up", "Down")</f>
        <v>Up</v>
      </c>
      <c r="P491" s="2" t="s">
        <v>10</v>
      </c>
    </row>
    <row r="492" spans="1:16" x14ac:dyDescent="0.35">
      <c r="A492" s="3">
        <v>42712</v>
      </c>
      <c r="B492" s="2" t="str">
        <f>TEXT(Table1[[#This Row],[Date]],"mmm")</f>
        <v>Dec</v>
      </c>
      <c r="C492" s="1">
        <f>YEAR(Table1[[#This Row],[Date]])</f>
        <v>2016</v>
      </c>
      <c r="D492" s="5">
        <v>110.860001</v>
      </c>
      <c r="E492" s="5">
        <v>112.43</v>
      </c>
      <c r="F492" s="5">
        <v>110.599998</v>
      </c>
      <c r="G492" s="5">
        <v>112.120003</v>
      </c>
      <c r="H492" s="1">
        <v>27068300</v>
      </c>
      <c r="I492">
        <v>111.63599600000001</v>
      </c>
      <c r="J492">
        <v>106.6517826</v>
      </c>
      <c r="K492">
        <v>109.9008335</v>
      </c>
      <c r="L492">
        <v>113.1498845</v>
      </c>
      <c r="M492" s="5">
        <f>Table1[[#This Row],[AAPL.Close]] -Table1[[#This Row],[AAPL.Open]]</f>
        <v>1.2600020000000001</v>
      </c>
      <c r="N492" s="4">
        <f>(Table1[[#This Row],[AAPL.Close]] - Table1[[#This Row],[AAPL.Open]]) /Table1[[#This Row],[AAPL.Open]]</f>
        <v>1.1365704389629224E-2</v>
      </c>
      <c r="O492" s="4" t="str">
        <f>IF(Table1[[#This Row],[AAPL.Close]] &gt; Table1[[#This Row],[AAPL.Open]], "Up", "Down")</f>
        <v>Up</v>
      </c>
      <c r="P492" s="2" t="s">
        <v>10</v>
      </c>
    </row>
    <row r="493" spans="1:16" x14ac:dyDescent="0.35">
      <c r="A493" s="3">
        <v>42713</v>
      </c>
      <c r="B493" s="2" t="str">
        <f>TEXT(Table1[[#This Row],[Date]],"mmm")</f>
        <v>Dec</v>
      </c>
      <c r="C493" s="1">
        <f>YEAR(Table1[[#This Row],[Date]])</f>
        <v>2016</v>
      </c>
      <c r="D493" s="5">
        <v>112.30999799999999</v>
      </c>
      <c r="E493" s="5">
        <v>114.699997</v>
      </c>
      <c r="F493" s="5">
        <v>112.30999799999999</v>
      </c>
      <c r="G493" s="5">
        <v>113.949997</v>
      </c>
      <c r="H493" s="1">
        <v>34402600</v>
      </c>
      <c r="I493">
        <v>113.45809</v>
      </c>
      <c r="J493">
        <v>106.6325587</v>
      </c>
      <c r="K493">
        <v>110.1716668</v>
      </c>
      <c r="L493">
        <v>113.7107748</v>
      </c>
      <c r="M493" s="5">
        <f>Table1[[#This Row],[AAPL.Close]] -Table1[[#This Row],[AAPL.Open]]</f>
        <v>1.6399990000000031</v>
      </c>
      <c r="N493" s="4">
        <f>(Table1[[#This Row],[AAPL.Close]] - Table1[[#This Row],[AAPL.Open]]) /Table1[[#This Row],[AAPL.Open]]</f>
        <v>1.4602431032008416E-2</v>
      </c>
      <c r="O493" s="4" t="str">
        <f>IF(Table1[[#This Row],[AAPL.Close]] &gt; Table1[[#This Row],[AAPL.Open]], "Up", "Down")</f>
        <v>Up</v>
      </c>
      <c r="P493" s="2" t="s">
        <v>10</v>
      </c>
    </row>
    <row r="494" spans="1:16" x14ac:dyDescent="0.35">
      <c r="A494" s="3">
        <v>42716</v>
      </c>
      <c r="B494" s="2" t="str">
        <f>TEXT(Table1[[#This Row],[Date]],"mmm")</f>
        <v>Dec</v>
      </c>
      <c r="C494" s="1">
        <f>YEAR(Table1[[#This Row],[Date]])</f>
        <v>2016</v>
      </c>
      <c r="D494" s="5">
        <v>113.290001</v>
      </c>
      <c r="E494" s="5">
        <v>115</v>
      </c>
      <c r="F494" s="5">
        <v>112.489998</v>
      </c>
      <c r="G494" s="5">
        <v>113.300003</v>
      </c>
      <c r="H494" s="1">
        <v>26374400</v>
      </c>
      <c r="I494">
        <v>112.810902</v>
      </c>
      <c r="J494">
        <v>106.7708758</v>
      </c>
      <c r="K494">
        <v>110.45399999999999</v>
      </c>
      <c r="L494">
        <v>114.1371242</v>
      </c>
      <c r="M494" s="5">
        <f>Table1[[#This Row],[AAPL.Close]] -Table1[[#This Row],[AAPL.Open]]</f>
        <v>1.0002000000000066E-2</v>
      </c>
      <c r="N494" s="4">
        <f>(Table1[[#This Row],[AAPL.Close]] - Table1[[#This Row],[AAPL.Open]]) /Table1[[#This Row],[AAPL.Open]]</f>
        <v>8.8286697075764571E-5</v>
      </c>
      <c r="O494" s="4" t="str">
        <f>IF(Table1[[#This Row],[AAPL.Close]] &gt; Table1[[#This Row],[AAPL.Open]], "Up", "Down")</f>
        <v>Up</v>
      </c>
      <c r="P494" s="2" t="s">
        <v>10</v>
      </c>
    </row>
    <row r="495" spans="1:16" x14ac:dyDescent="0.35">
      <c r="A495" s="3">
        <v>42717</v>
      </c>
      <c r="B495" s="2" t="str">
        <f>TEXT(Table1[[#This Row],[Date]],"mmm")</f>
        <v>Dec</v>
      </c>
      <c r="C495" s="1">
        <f>YEAR(Table1[[#This Row],[Date]])</f>
        <v>2016</v>
      </c>
      <c r="D495" s="5">
        <v>113.839996</v>
      </c>
      <c r="E495" s="5">
        <v>115.91999800000001</v>
      </c>
      <c r="F495" s="5">
        <v>113.75</v>
      </c>
      <c r="G495" s="5">
        <v>115.19000200000001</v>
      </c>
      <c r="H495" s="1">
        <v>43733800</v>
      </c>
      <c r="I495">
        <v>114.69274299999999</v>
      </c>
      <c r="J495">
        <v>107.3615315</v>
      </c>
      <c r="K495">
        <v>110.9083334</v>
      </c>
      <c r="L495">
        <v>114.4551352</v>
      </c>
      <c r="M495" s="5">
        <f>Table1[[#This Row],[AAPL.Close]] -Table1[[#This Row],[AAPL.Open]]</f>
        <v>1.3500060000000076</v>
      </c>
      <c r="N495" s="4">
        <f>(Table1[[#This Row],[AAPL.Close]] - Table1[[#This Row],[AAPL.Open]]) /Table1[[#This Row],[AAPL.Open]]</f>
        <v>1.1858802243809001E-2</v>
      </c>
      <c r="O495" s="4" t="str">
        <f>IF(Table1[[#This Row],[AAPL.Close]] &gt; Table1[[#This Row],[AAPL.Open]], "Up", "Down")</f>
        <v>Up</v>
      </c>
      <c r="P495" s="2" t="s">
        <v>10</v>
      </c>
    </row>
    <row r="496" spans="1:16" x14ac:dyDescent="0.35">
      <c r="A496" s="3">
        <v>42718</v>
      </c>
      <c r="B496" s="2" t="str">
        <f>TEXT(Table1[[#This Row],[Date]],"mmm")</f>
        <v>Dec</v>
      </c>
      <c r="C496" s="1">
        <f>YEAR(Table1[[#This Row],[Date]])</f>
        <v>2016</v>
      </c>
      <c r="D496" s="5">
        <v>115.040001</v>
      </c>
      <c r="E496" s="5">
        <v>116.199997</v>
      </c>
      <c r="F496" s="5">
        <v>114.980003</v>
      </c>
      <c r="G496" s="5">
        <v>115.19000200000001</v>
      </c>
      <c r="H496" s="1">
        <v>34031800</v>
      </c>
      <c r="I496">
        <v>114.69274299999999</v>
      </c>
      <c r="J496">
        <v>107.7378136</v>
      </c>
      <c r="K496">
        <v>111.33199999999999</v>
      </c>
      <c r="L496">
        <v>114.9261863</v>
      </c>
      <c r="M496" s="5">
        <f>Table1[[#This Row],[AAPL.Close]] -Table1[[#This Row],[AAPL.Open]]</f>
        <v>0.15000100000000316</v>
      </c>
      <c r="N496" s="4">
        <f>(Table1[[#This Row],[AAPL.Close]] - Table1[[#This Row],[AAPL.Open]]) /Table1[[#This Row],[AAPL.Open]]</f>
        <v>1.3039029789299389E-3</v>
      </c>
      <c r="O496" s="4" t="str">
        <f>IF(Table1[[#This Row],[AAPL.Close]] &gt; Table1[[#This Row],[AAPL.Open]], "Up", "Down")</f>
        <v>Up</v>
      </c>
      <c r="P496" s="2" t="s">
        <v>10</v>
      </c>
    </row>
    <row r="497" spans="1:16" x14ac:dyDescent="0.35">
      <c r="A497" s="3">
        <v>42719</v>
      </c>
      <c r="B497" s="2" t="str">
        <f>TEXT(Table1[[#This Row],[Date]],"mmm")</f>
        <v>Dec</v>
      </c>
      <c r="C497" s="1">
        <f>YEAR(Table1[[#This Row],[Date]])</f>
        <v>2016</v>
      </c>
      <c r="D497" s="5">
        <v>115.379997</v>
      </c>
      <c r="E497" s="5">
        <v>116.730003</v>
      </c>
      <c r="F497" s="5">
        <v>115.230003</v>
      </c>
      <c r="G497" s="5">
        <v>115.82</v>
      </c>
      <c r="H497" s="1">
        <v>46524500</v>
      </c>
      <c r="I497">
        <v>115.32002</v>
      </c>
      <c r="J497">
        <v>107.7433259</v>
      </c>
      <c r="K497">
        <v>111.6813334</v>
      </c>
      <c r="L497">
        <v>115.6193409</v>
      </c>
      <c r="M497" s="5">
        <f>Table1[[#This Row],[AAPL.Close]] -Table1[[#This Row],[AAPL.Open]]</f>
        <v>0.44000299999999015</v>
      </c>
      <c r="N497" s="4">
        <f>(Table1[[#This Row],[AAPL.Close]] - Table1[[#This Row],[AAPL.Open]]) /Table1[[#This Row],[AAPL.Open]]</f>
        <v>3.8135119729634779E-3</v>
      </c>
      <c r="O497" s="4" t="str">
        <f>IF(Table1[[#This Row],[AAPL.Close]] &gt; Table1[[#This Row],[AAPL.Open]], "Up", "Down")</f>
        <v>Up</v>
      </c>
      <c r="P497" s="2" t="s">
        <v>10</v>
      </c>
    </row>
    <row r="498" spans="1:16" x14ac:dyDescent="0.35">
      <c r="A498" s="3">
        <v>42720</v>
      </c>
      <c r="B498" s="2" t="str">
        <f>TEXT(Table1[[#This Row],[Date]],"mmm")</f>
        <v>Dec</v>
      </c>
      <c r="C498" s="1">
        <f>YEAR(Table1[[#This Row],[Date]])</f>
        <v>2016</v>
      </c>
      <c r="D498" s="5">
        <v>116.470001</v>
      </c>
      <c r="E498" s="5">
        <v>116.5</v>
      </c>
      <c r="F498" s="5">
        <v>115.650002</v>
      </c>
      <c r="G498" s="5">
        <v>115.970001</v>
      </c>
      <c r="H498" s="1">
        <v>44351100</v>
      </c>
      <c r="I498">
        <v>115.469374</v>
      </c>
      <c r="J498">
        <v>107.7399492</v>
      </c>
      <c r="K498">
        <v>111.9978335</v>
      </c>
      <c r="L498">
        <v>116.2557178</v>
      </c>
      <c r="M498" s="5">
        <f>Table1[[#This Row],[AAPL.Close]] -Table1[[#This Row],[AAPL.Open]]</f>
        <v>-0.5</v>
      </c>
      <c r="N498" s="4">
        <f>(Table1[[#This Row],[AAPL.Close]] - Table1[[#This Row],[AAPL.Open]]) /Table1[[#This Row],[AAPL.Open]]</f>
        <v>-4.2929509376410154E-3</v>
      </c>
      <c r="O498" s="4" t="str">
        <f>IF(Table1[[#This Row],[AAPL.Close]] &gt; Table1[[#This Row],[AAPL.Open]], "Up", "Down")</f>
        <v>Down</v>
      </c>
      <c r="P498" s="2" t="s">
        <v>11</v>
      </c>
    </row>
    <row r="499" spans="1:16" x14ac:dyDescent="0.35">
      <c r="A499" s="3">
        <v>42723</v>
      </c>
      <c r="B499" s="2" t="str">
        <f>TEXT(Table1[[#This Row],[Date]],"mmm")</f>
        <v>Dec</v>
      </c>
      <c r="C499" s="1">
        <f>YEAR(Table1[[#This Row],[Date]])</f>
        <v>2016</v>
      </c>
      <c r="D499" s="5">
        <v>115.800003</v>
      </c>
      <c r="E499" s="5">
        <v>117.379997</v>
      </c>
      <c r="F499" s="5">
        <v>115.75</v>
      </c>
      <c r="G499" s="5">
        <v>116.639999</v>
      </c>
      <c r="H499" s="1">
        <v>27779400</v>
      </c>
      <c r="I499">
        <v>116.13648000000001</v>
      </c>
      <c r="J499">
        <v>107.7193352</v>
      </c>
      <c r="K499">
        <v>112.3230001</v>
      </c>
      <c r="L499">
        <v>116.926665</v>
      </c>
      <c r="M499" s="5">
        <f>Table1[[#This Row],[AAPL.Close]] -Table1[[#This Row],[AAPL.Open]]</f>
        <v>0.8399959999999993</v>
      </c>
      <c r="N499" s="4">
        <f>(Table1[[#This Row],[AAPL.Close]] - Table1[[#This Row],[AAPL.Open]]) /Table1[[#This Row],[AAPL.Open]]</f>
        <v>7.253851280124745E-3</v>
      </c>
      <c r="O499" s="4" t="str">
        <f>IF(Table1[[#This Row],[AAPL.Close]] &gt; Table1[[#This Row],[AAPL.Open]], "Up", "Down")</f>
        <v>Up</v>
      </c>
      <c r="P499" s="2" t="s">
        <v>10</v>
      </c>
    </row>
    <row r="500" spans="1:16" x14ac:dyDescent="0.35">
      <c r="A500" s="3">
        <v>42724</v>
      </c>
      <c r="B500" s="2" t="str">
        <f>TEXT(Table1[[#This Row],[Date]],"mmm")</f>
        <v>Dec</v>
      </c>
      <c r="C500" s="1">
        <f>YEAR(Table1[[#This Row],[Date]])</f>
        <v>2016</v>
      </c>
      <c r="D500" s="5">
        <v>116.739998</v>
      </c>
      <c r="E500" s="5">
        <v>117.5</v>
      </c>
      <c r="F500" s="5">
        <v>116.68</v>
      </c>
      <c r="G500" s="5">
        <v>116.949997</v>
      </c>
      <c r="H500" s="1">
        <v>21425000</v>
      </c>
      <c r="I500">
        <v>116.445139</v>
      </c>
      <c r="J500">
        <v>107.6049562</v>
      </c>
      <c r="K500">
        <v>112.613</v>
      </c>
      <c r="L500">
        <v>117.6210437</v>
      </c>
      <c r="M500" s="5">
        <f>Table1[[#This Row],[AAPL.Close]] -Table1[[#This Row],[AAPL.Open]]</f>
        <v>0.20999899999999627</v>
      </c>
      <c r="N500" s="4">
        <f>(Table1[[#This Row],[AAPL.Close]] - Table1[[#This Row],[AAPL.Open]]) /Table1[[#This Row],[AAPL.Open]]</f>
        <v>1.7988607469395046E-3</v>
      </c>
      <c r="O500" s="4" t="str">
        <f>IF(Table1[[#This Row],[AAPL.Close]] &gt; Table1[[#This Row],[AAPL.Open]], "Up", "Down")</f>
        <v>Up</v>
      </c>
      <c r="P500" s="2" t="s">
        <v>10</v>
      </c>
    </row>
    <row r="501" spans="1:16" x14ac:dyDescent="0.35">
      <c r="A501" s="3">
        <v>42725</v>
      </c>
      <c r="B501" s="2" t="str">
        <f>TEXT(Table1[[#This Row],[Date]],"mmm")</f>
        <v>Dec</v>
      </c>
      <c r="C501" s="1">
        <f>YEAR(Table1[[#This Row],[Date]])</f>
        <v>2016</v>
      </c>
      <c r="D501" s="5">
        <v>116.800003</v>
      </c>
      <c r="E501" s="5">
        <v>117.400002</v>
      </c>
      <c r="F501" s="5">
        <v>116.779999</v>
      </c>
      <c r="G501" s="5">
        <v>117.05999799999999</v>
      </c>
      <c r="H501" s="1">
        <v>23783200</v>
      </c>
      <c r="I501">
        <v>116.554665</v>
      </c>
      <c r="J501">
        <v>107.51695340000001</v>
      </c>
      <c r="K501">
        <v>112.8733332</v>
      </c>
      <c r="L501">
        <v>118.2297131</v>
      </c>
      <c r="M501" s="5">
        <f>Table1[[#This Row],[AAPL.Close]] -Table1[[#This Row],[AAPL.Open]]</f>
        <v>0.25999499999998932</v>
      </c>
      <c r="N501" s="4">
        <f>(Table1[[#This Row],[AAPL.Close]] - Table1[[#This Row],[AAPL.Open]]) /Table1[[#This Row],[AAPL.Open]]</f>
        <v>2.2259845318667441E-3</v>
      </c>
      <c r="O501" s="4" t="str">
        <f>IF(Table1[[#This Row],[AAPL.Close]] &gt; Table1[[#This Row],[AAPL.Open]], "Up", "Down")</f>
        <v>Up</v>
      </c>
      <c r="P501" s="2" t="s">
        <v>10</v>
      </c>
    </row>
    <row r="502" spans="1:16" x14ac:dyDescent="0.35">
      <c r="A502" s="3">
        <v>42726</v>
      </c>
      <c r="B502" s="2" t="str">
        <f>TEXT(Table1[[#This Row],[Date]],"mmm")</f>
        <v>Dec</v>
      </c>
      <c r="C502" s="1">
        <f>YEAR(Table1[[#This Row],[Date]])</f>
        <v>2016</v>
      </c>
      <c r="D502" s="5">
        <v>116.349998</v>
      </c>
      <c r="E502" s="5">
        <v>116.510002</v>
      </c>
      <c r="F502" s="5">
        <v>115.639999</v>
      </c>
      <c r="G502" s="5">
        <v>116.290001</v>
      </c>
      <c r="H502" s="1">
        <v>26085900</v>
      </c>
      <c r="I502">
        <v>115.787993</v>
      </c>
      <c r="J502">
        <v>107.66262089999999</v>
      </c>
      <c r="K502">
        <v>113.1294998</v>
      </c>
      <c r="L502">
        <v>118.5963787</v>
      </c>
      <c r="M502" s="5">
        <f>Table1[[#This Row],[AAPL.Close]] -Table1[[#This Row],[AAPL.Open]]</f>
        <v>-5.9996999999995637E-2</v>
      </c>
      <c r="N502" s="4">
        <f>(Table1[[#This Row],[AAPL.Close]] - Table1[[#This Row],[AAPL.Open]]) /Table1[[#This Row],[AAPL.Open]]</f>
        <v>-5.1565965647885643E-4</v>
      </c>
      <c r="O502" s="4" t="str">
        <f>IF(Table1[[#This Row],[AAPL.Close]] &gt; Table1[[#This Row],[AAPL.Open]], "Up", "Down")</f>
        <v>Down</v>
      </c>
      <c r="P502" s="2" t="s">
        <v>11</v>
      </c>
    </row>
    <row r="503" spans="1:16" x14ac:dyDescent="0.35">
      <c r="A503" s="3">
        <v>42727</v>
      </c>
      <c r="B503" s="2" t="str">
        <f>TEXT(Table1[[#This Row],[Date]],"mmm")</f>
        <v>Dec</v>
      </c>
      <c r="C503" s="1">
        <f>YEAR(Table1[[#This Row],[Date]])</f>
        <v>2016</v>
      </c>
      <c r="D503" s="5">
        <v>115.589996</v>
      </c>
      <c r="E503" s="5">
        <v>116.519997</v>
      </c>
      <c r="F503" s="5">
        <v>115.589996</v>
      </c>
      <c r="G503" s="5">
        <v>116.519997</v>
      </c>
      <c r="H503" s="1">
        <v>14249500</v>
      </c>
      <c r="I503">
        <v>116.01699499999999</v>
      </c>
      <c r="J503">
        <v>107.790121</v>
      </c>
      <c r="K503">
        <v>113.3631663</v>
      </c>
      <c r="L503">
        <v>118.93621159999999</v>
      </c>
      <c r="M503" s="5">
        <f>Table1[[#This Row],[AAPL.Close]] -Table1[[#This Row],[AAPL.Open]]</f>
        <v>0.9300010000000043</v>
      </c>
      <c r="N503" s="4">
        <f>(Table1[[#This Row],[AAPL.Close]] - Table1[[#This Row],[AAPL.Open]]) /Table1[[#This Row],[AAPL.Open]]</f>
        <v>8.0456876216173957E-3</v>
      </c>
      <c r="O503" s="4" t="str">
        <f>IF(Table1[[#This Row],[AAPL.Close]] &gt; Table1[[#This Row],[AAPL.Open]], "Up", "Down")</f>
        <v>Up</v>
      </c>
      <c r="P503" s="2" t="s">
        <v>10</v>
      </c>
    </row>
    <row r="504" spans="1:16" x14ac:dyDescent="0.35">
      <c r="A504" s="3">
        <v>42731</v>
      </c>
      <c r="B504" s="2" t="str">
        <f>TEXT(Table1[[#This Row],[Date]],"mmm")</f>
        <v>Dec</v>
      </c>
      <c r="C504" s="1">
        <f>YEAR(Table1[[#This Row],[Date]])</f>
        <v>2016</v>
      </c>
      <c r="D504" s="5">
        <v>116.519997</v>
      </c>
      <c r="E504" s="5">
        <v>117.800003</v>
      </c>
      <c r="F504" s="5">
        <v>116.489998</v>
      </c>
      <c r="G504" s="5">
        <v>117.260002</v>
      </c>
      <c r="H504" s="1">
        <v>18296900</v>
      </c>
      <c r="I504">
        <v>116.753806</v>
      </c>
      <c r="J504">
        <v>107.86933550000001</v>
      </c>
      <c r="K504">
        <v>113.631833</v>
      </c>
      <c r="L504">
        <v>119.3943306</v>
      </c>
      <c r="M504" s="5">
        <f>Table1[[#This Row],[AAPL.Close]] -Table1[[#This Row],[AAPL.Open]]</f>
        <v>0.74000499999999647</v>
      </c>
      <c r="N504" s="4">
        <f>(Table1[[#This Row],[AAPL.Close]] - Table1[[#This Row],[AAPL.Open]]) /Table1[[#This Row],[AAPL.Open]]</f>
        <v>6.3508841319314183E-3</v>
      </c>
      <c r="O504" s="4" t="str">
        <f>IF(Table1[[#This Row],[AAPL.Close]] &gt; Table1[[#This Row],[AAPL.Open]], "Up", "Down")</f>
        <v>Up</v>
      </c>
      <c r="P504" s="2" t="s">
        <v>10</v>
      </c>
    </row>
    <row r="505" spans="1:16" x14ac:dyDescent="0.35">
      <c r="A505" s="3">
        <v>42732</v>
      </c>
      <c r="B505" s="2" t="str">
        <f>TEXT(Table1[[#This Row],[Date]],"mmm")</f>
        <v>Dec</v>
      </c>
      <c r="C505" s="1">
        <f>YEAR(Table1[[#This Row],[Date]])</f>
        <v>2016</v>
      </c>
      <c r="D505" s="5">
        <v>117.519997</v>
      </c>
      <c r="E505" s="5">
        <v>118.019997</v>
      </c>
      <c r="F505" s="5">
        <v>116.199997</v>
      </c>
      <c r="G505" s="5">
        <v>116.760002</v>
      </c>
      <c r="H505" s="1">
        <v>20905900</v>
      </c>
      <c r="I505">
        <v>116.255965</v>
      </c>
      <c r="J505">
        <v>108.09693059999999</v>
      </c>
      <c r="K505">
        <v>113.9221663</v>
      </c>
      <c r="L505">
        <v>119.74740199999999</v>
      </c>
      <c r="M505" s="5">
        <f>Table1[[#This Row],[AAPL.Close]] -Table1[[#This Row],[AAPL.Open]]</f>
        <v>-0.75999500000000353</v>
      </c>
      <c r="N505" s="4">
        <f>(Table1[[#This Row],[AAPL.Close]] - Table1[[#This Row],[AAPL.Open]]) /Table1[[#This Row],[AAPL.Open]]</f>
        <v>-6.4669419622262539E-3</v>
      </c>
      <c r="O505" s="4" t="str">
        <f>IF(Table1[[#This Row],[AAPL.Close]] &gt; Table1[[#This Row],[AAPL.Open]], "Up", "Down")</f>
        <v>Down</v>
      </c>
      <c r="P505" s="2" t="s">
        <v>11</v>
      </c>
    </row>
    <row r="506" spans="1:16" x14ac:dyDescent="0.35">
      <c r="A506" s="3">
        <v>42733</v>
      </c>
      <c r="B506" s="2" t="str">
        <f>TEXT(Table1[[#This Row],[Date]],"mmm")</f>
        <v>Dec</v>
      </c>
      <c r="C506" s="1">
        <f>YEAR(Table1[[#This Row],[Date]])</f>
        <v>2016</v>
      </c>
      <c r="D506" s="5">
        <v>116.449997</v>
      </c>
      <c r="E506" s="5">
        <v>117.110001</v>
      </c>
      <c r="F506" s="5">
        <v>116.400002</v>
      </c>
      <c r="G506" s="5">
        <v>116.730003</v>
      </c>
      <c r="H506" s="1">
        <v>15039500</v>
      </c>
      <c r="I506">
        <v>116.226096</v>
      </c>
      <c r="J506">
        <v>108.4229062</v>
      </c>
      <c r="K506">
        <v>114.20966660000001</v>
      </c>
      <c r="L506">
        <v>119.9964269</v>
      </c>
      <c r="M506" s="5">
        <f>Table1[[#This Row],[AAPL.Close]] -Table1[[#This Row],[AAPL.Open]]</f>
        <v>0.2800060000000002</v>
      </c>
      <c r="N506" s="4">
        <f>(Table1[[#This Row],[AAPL.Close]] - Table1[[#This Row],[AAPL.Open]]) /Table1[[#This Row],[AAPL.Open]]</f>
        <v>2.4045170220141801E-3</v>
      </c>
      <c r="O506" s="4" t="str">
        <f>IF(Table1[[#This Row],[AAPL.Close]] &gt; Table1[[#This Row],[AAPL.Open]], "Up", "Down")</f>
        <v>Up</v>
      </c>
      <c r="P506" s="2" t="s">
        <v>10</v>
      </c>
    </row>
    <row r="507" spans="1:16" x14ac:dyDescent="0.35">
      <c r="A507" s="3">
        <v>42734</v>
      </c>
      <c r="B507" s="2" t="str">
        <f>TEXT(Table1[[#This Row],[Date]],"mmm")</f>
        <v>Dec</v>
      </c>
      <c r="C507" s="1">
        <f>YEAR(Table1[[#This Row],[Date]])</f>
        <v>2016</v>
      </c>
      <c r="D507" s="5">
        <v>116.650002</v>
      </c>
      <c r="E507" s="5">
        <v>117.199997</v>
      </c>
      <c r="F507" s="5">
        <v>115.43</v>
      </c>
      <c r="G507" s="5">
        <v>115.82</v>
      </c>
      <c r="H507" s="1">
        <v>30586300</v>
      </c>
      <c r="I507">
        <v>115.32002</v>
      </c>
      <c r="J507">
        <v>109.05030600000001</v>
      </c>
      <c r="K507">
        <v>114.5261665</v>
      </c>
      <c r="L507">
        <v>120.00202710000001</v>
      </c>
      <c r="M507" s="5">
        <f>Table1[[#This Row],[AAPL.Close]] -Table1[[#This Row],[AAPL.Open]]</f>
        <v>-0.83000200000000746</v>
      </c>
      <c r="N507" s="4">
        <f>(Table1[[#This Row],[AAPL.Close]] - Table1[[#This Row],[AAPL.Open]]) /Table1[[#This Row],[AAPL.Open]]</f>
        <v>-7.1153192093387826E-3</v>
      </c>
      <c r="O507" s="4" t="str">
        <f>IF(Table1[[#This Row],[AAPL.Close]] &gt; Table1[[#This Row],[AAPL.Open]], "Up", "Down")</f>
        <v>Down</v>
      </c>
      <c r="P507" s="2" t="s">
        <v>11</v>
      </c>
    </row>
  </sheetData>
  <conditionalFormatting sqref="P1:P1048576">
    <cfRule type="colorScale" priority="1">
      <colorScale>
        <cfvo type="min"/>
        <cfvo type="percentile" val="50"/>
        <cfvo type="max"/>
        <color rgb="FFF8696B"/>
        <color rgb="FFFFEB84"/>
        <color rgb="FF63BE7B"/>
      </colorScale>
    </cfRule>
    <cfRule type="iconSet" priority="2">
      <iconSet iconSet="3ArrowsGray">
        <cfvo type="percent" val="0"/>
        <cfvo type="percent" val="33"/>
        <cfvo type="percent" val="67"/>
      </iconSet>
    </cfRule>
    <cfRule type="dataBar" priority="3">
      <dataBar>
        <cfvo type="min"/>
        <cfvo type="max"/>
        <color rgb="FF63C384"/>
      </dataBar>
      <extLst>
        <ext xmlns:x14="http://schemas.microsoft.com/office/spreadsheetml/2009/9/main" uri="{B025F937-C7B1-47D3-B67F-A62EFF666E3E}">
          <x14:id>{21CDEBFA-12A5-4939-9086-1CEB4CD0B891}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1CDEBFA-12A5-4939-9086-1CEB4CD0B891}">
            <x14:dataBar minLength="0" maxLength="100" border="1" negativeBarBorderColorSameAsPositive="0">
              <x14:cfvo type="autoMin"/>
              <x14:cfvo type="autoMax"/>
              <x14:borderColor rgb="FF63C384"/>
              <x14:negativeFillColor rgb="FFFF0000"/>
              <x14:negativeBorderColor rgb="FFFF0000"/>
              <x14:axisColor rgb="FF000000"/>
            </x14:dataBar>
          </x14:cfRule>
          <xm:sqref>P1:P1048576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AFE5-922F-469C-9513-7C4B57D0A233}">
  <dimension ref="A1:R61"/>
  <sheetViews>
    <sheetView showGridLines="0" tabSelected="1" zoomScale="72" zoomScaleNormal="72" workbookViewId="0">
      <selection activeCell="T15" sqref="T15"/>
    </sheetView>
  </sheetViews>
  <sheetFormatPr defaultRowHeight="14.5" x14ac:dyDescent="0.35"/>
  <sheetData>
    <row r="1" spans="1:18" x14ac:dyDescent="0.35">
      <c r="A1" s="8"/>
      <c r="B1" s="8"/>
      <c r="C1" s="8"/>
      <c r="D1" s="8"/>
      <c r="E1" s="8"/>
      <c r="F1" s="8"/>
      <c r="G1" s="8"/>
      <c r="H1" s="8"/>
      <c r="I1" s="8"/>
      <c r="J1" s="8"/>
      <c r="K1" s="8"/>
      <c r="L1" s="8"/>
      <c r="M1" s="8"/>
      <c r="N1" s="8"/>
      <c r="O1" s="8"/>
      <c r="P1" s="8"/>
      <c r="Q1" s="8"/>
      <c r="R1" s="8"/>
    </row>
    <row r="2" spans="1:18" ht="21" x14ac:dyDescent="0.5">
      <c r="A2" s="8"/>
      <c r="B2" s="9" t="s">
        <v>38</v>
      </c>
      <c r="C2" s="9"/>
      <c r="D2" s="9"/>
      <c r="E2" s="8"/>
      <c r="F2" s="8"/>
      <c r="G2" s="8"/>
      <c r="H2" s="8"/>
      <c r="I2" s="8"/>
      <c r="J2" s="8"/>
      <c r="K2" s="8"/>
      <c r="L2" s="8"/>
      <c r="M2" s="8"/>
      <c r="N2" s="8"/>
      <c r="O2" s="8"/>
      <c r="P2" s="8"/>
      <c r="Q2" s="8"/>
      <c r="R2" s="8"/>
    </row>
    <row r="3" spans="1:18" x14ac:dyDescent="0.35">
      <c r="A3" s="8"/>
      <c r="B3" s="8"/>
      <c r="C3" s="8"/>
      <c r="D3" s="8"/>
      <c r="E3" s="8"/>
      <c r="F3" s="8"/>
      <c r="G3" s="8"/>
      <c r="H3" s="8"/>
      <c r="I3" s="8"/>
      <c r="J3" s="8"/>
      <c r="K3" s="8"/>
      <c r="L3" s="8"/>
      <c r="M3" s="8"/>
      <c r="N3" s="8"/>
      <c r="O3" s="8"/>
      <c r="P3" s="8"/>
      <c r="Q3" s="8"/>
      <c r="R3" s="8"/>
    </row>
    <row r="4" spans="1:18" x14ac:dyDescent="0.35">
      <c r="A4" s="8"/>
      <c r="B4" s="8"/>
      <c r="C4" s="8"/>
      <c r="D4" s="8"/>
      <c r="E4" s="8"/>
      <c r="F4" s="8"/>
      <c r="G4" s="8"/>
      <c r="H4" s="8"/>
      <c r="I4" s="8"/>
      <c r="J4" s="8"/>
      <c r="K4" s="8"/>
      <c r="L4" s="8"/>
      <c r="M4" s="8"/>
      <c r="N4" s="8"/>
      <c r="O4" s="8"/>
      <c r="P4" s="8"/>
      <c r="Q4" s="8"/>
      <c r="R4" s="8"/>
    </row>
    <row r="5" spans="1:18" x14ac:dyDescent="0.35">
      <c r="A5" s="8"/>
      <c r="B5" s="8"/>
      <c r="C5" s="8"/>
      <c r="D5" s="8"/>
      <c r="E5" s="8"/>
      <c r="F5" s="8"/>
      <c r="G5" s="8"/>
      <c r="H5" s="8"/>
      <c r="I5" s="8"/>
      <c r="J5" s="8"/>
      <c r="K5" s="8"/>
      <c r="L5" s="8"/>
      <c r="M5" s="8"/>
      <c r="N5" s="8"/>
      <c r="O5" s="8"/>
      <c r="P5" s="8"/>
      <c r="Q5" s="8"/>
      <c r="R5" s="8"/>
    </row>
    <row r="6" spans="1:18" x14ac:dyDescent="0.35">
      <c r="A6" s="8"/>
      <c r="B6" s="8"/>
      <c r="C6" s="8"/>
      <c r="D6" s="8"/>
      <c r="E6" s="8"/>
      <c r="F6" s="8"/>
      <c r="G6" s="8"/>
      <c r="H6" s="8"/>
      <c r="I6" s="8"/>
      <c r="J6" s="8"/>
      <c r="K6" s="8"/>
      <c r="L6" s="8"/>
      <c r="M6" s="8"/>
      <c r="N6" s="8"/>
      <c r="O6" s="8"/>
      <c r="P6" s="8"/>
      <c r="Q6" s="8"/>
      <c r="R6" s="8"/>
    </row>
    <row r="7" spans="1:18" x14ac:dyDescent="0.35">
      <c r="A7" s="8"/>
      <c r="B7" s="8"/>
      <c r="C7" s="8"/>
      <c r="D7" s="8"/>
      <c r="E7" s="8"/>
      <c r="F7" s="8"/>
      <c r="G7" s="8"/>
      <c r="H7" s="8"/>
      <c r="I7" s="8"/>
      <c r="J7" s="8"/>
      <c r="K7" s="8"/>
      <c r="L7" s="8"/>
      <c r="M7" s="8"/>
      <c r="N7" s="8"/>
      <c r="O7" s="8"/>
      <c r="P7" s="8"/>
      <c r="Q7" s="8"/>
      <c r="R7" s="8"/>
    </row>
    <row r="8" spans="1:18" x14ac:dyDescent="0.35">
      <c r="A8" s="8"/>
      <c r="B8" s="8"/>
      <c r="C8" s="8"/>
      <c r="D8" s="8"/>
      <c r="E8" s="8"/>
      <c r="F8" s="8"/>
      <c r="G8" s="8"/>
      <c r="H8" s="8"/>
      <c r="I8" s="8"/>
      <c r="J8" s="8"/>
      <c r="K8" s="8"/>
      <c r="L8" s="8"/>
      <c r="M8" s="8"/>
      <c r="N8" s="8"/>
      <c r="O8" s="8"/>
      <c r="P8" s="8"/>
      <c r="Q8" s="8"/>
      <c r="R8" s="8"/>
    </row>
    <row r="9" spans="1:18" x14ac:dyDescent="0.35">
      <c r="A9" s="8"/>
      <c r="B9" s="8"/>
      <c r="C9" s="8"/>
      <c r="D9" s="8"/>
      <c r="E9" s="8"/>
      <c r="F9" s="8"/>
      <c r="G9" s="8"/>
      <c r="H9" s="8"/>
      <c r="I9" s="8"/>
      <c r="J9" s="8"/>
      <c r="K9" s="8"/>
      <c r="L9" s="8"/>
      <c r="M9" s="8"/>
      <c r="N9" s="8"/>
      <c r="O9" s="8"/>
      <c r="P9" s="8"/>
      <c r="Q9" s="8"/>
      <c r="R9" s="8"/>
    </row>
    <row r="10" spans="1:18" x14ac:dyDescent="0.35">
      <c r="A10" s="8"/>
      <c r="B10" s="8"/>
      <c r="C10" s="8"/>
      <c r="D10" s="8"/>
      <c r="E10" s="8"/>
      <c r="F10" s="8"/>
      <c r="G10" s="8"/>
      <c r="H10" s="8"/>
      <c r="I10" s="8"/>
      <c r="J10" s="8"/>
      <c r="K10" s="8"/>
      <c r="L10" s="8"/>
      <c r="M10" s="8"/>
      <c r="N10" s="8"/>
      <c r="O10" s="8"/>
      <c r="P10" s="8"/>
      <c r="Q10" s="8"/>
      <c r="R10" s="8"/>
    </row>
    <row r="11" spans="1:18" x14ac:dyDescent="0.35">
      <c r="A11" s="8"/>
      <c r="B11" s="8"/>
      <c r="C11" s="8"/>
      <c r="D11" s="8"/>
      <c r="E11" s="8"/>
      <c r="F11" s="8"/>
      <c r="G11" s="8"/>
      <c r="H11" s="8"/>
      <c r="I11" s="8"/>
      <c r="J11" s="8"/>
      <c r="K11" s="8"/>
      <c r="L11" s="8"/>
      <c r="M11" s="8"/>
      <c r="N11" s="8"/>
      <c r="O11" s="8"/>
      <c r="P11" s="8"/>
      <c r="Q11" s="8"/>
      <c r="R11" s="8"/>
    </row>
    <row r="12" spans="1:18" x14ac:dyDescent="0.35">
      <c r="A12" s="8"/>
      <c r="B12" s="8"/>
      <c r="C12" s="8"/>
      <c r="D12" s="8"/>
      <c r="E12" s="8"/>
      <c r="F12" s="8"/>
      <c r="G12" s="8"/>
      <c r="H12" s="8"/>
      <c r="I12" s="8"/>
      <c r="J12" s="8"/>
      <c r="K12" s="8"/>
      <c r="L12" s="8"/>
      <c r="M12" s="8"/>
      <c r="N12" s="8"/>
      <c r="O12" s="8"/>
      <c r="P12" s="8"/>
      <c r="Q12" s="8"/>
      <c r="R12" s="8"/>
    </row>
    <row r="13" spans="1:18" x14ac:dyDescent="0.35">
      <c r="A13" s="8"/>
      <c r="B13" s="8"/>
      <c r="C13" s="8"/>
      <c r="D13" s="8"/>
      <c r="E13" s="8"/>
      <c r="F13" s="8"/>
      <c r="G13" s="8"/>
      <c r="H13" s="8"/>
      <c r="I13" s="8"/>
      <c r="J13" s="8"/>
      <c r="K13" s="8"/>
      <c r="L13" s="8"/>
      <c r="M13" s="8"/>
      <c r="N13" s="8"/>
      <c r="O13" s="8"/>
      <c r="P13" s="8"/>
      <c r="Q13" s="8"/>
      <c r="R13" s="8"/>
    </row>
    <row r="14" spans="1:18" x14ac:dyDescent="0.35">
      <c r="A14" s="8"/>
      <c r="B14" s="8"/>
      <c r="C14" s="8"/>
      <c r="D14" s="8"/>
      <c r="E14" s="8"/>
      <c r="F14" s="8"/>
      <c r="G14" s="8"/>
      <c r="H14" s="8"/>
      <c r="I14" s="8"/>
      <c r="J14" s="8"/>
      <c r="K14" s="8"/>
      <c r="L14" s="8"/>
      <c r="M14" s="8"/>
      <c r="N14" s="8"/>
      <c r="O14" s="8"/>
      <c r="P14" s="8"/>
      <c r="Q14" s="8"/>
      <c r="R14" s="8"/>
    </row>
    <row r="15" spans="1:18" x14ac:dyDescent="0.35">
      <c r="A15" s="8"/>
      <c r="B15" s="8"/>
      <c r="C15" s="8"/>
      <c r="D15" s="8"/>
      <c r="E15" s="8"/>
      <c r="F15" s="8"/>
      <c r="G15" s="8"/>
      <c r="H15" s="8"/>
      <c r="I15" s="8"/>
      <c r="J15" s="8"/>
      <c r="K15" s="8"/>
      <c r="L15" s="8"/>
      <c r="M15" s="8"/>
      <c r="N15" s="8"/>
      <c r="O15" s="8"/>
      <c r="P15" s="8"/>
      <c r="Q15" s="8"/>
      <c r="R15" s="8"/>
    </row>
    <row r="16" spans="1:18" x14ac:dyDescent="0.35">
      <c r="A16" s="8"/>
      <c r="B16" s="8"/>
      <c r="C16" s="8"/>
      <c r="D16" s="8"/>
      <c r="E16" s="8"/>
      <c r="F16" s="8"/>
      <c r="G16" s="8"/>
      <c r="H16" s="8"/>
      <c r="I16" s="8"/>
      <c r="J16" s="8"/>
      <c r="K16" s="8"/>
      <c r="L16" s="8"/>
      <c r="M16" s="8"/>
      <c r="N16" s="8"/>
      <c r="O16" s="8"/>
      <c r="P16" s="8"/>
      <c r="Q16" s="8"/>
      <c r="R16" s="8"/>
    </row>
    <row r="17" spans="1:18" x14ac:dyDescent="0.35">
      <c r="A17" s="8"/>
      <c r="B17" s="8"/>
      <c r="C17" s="8"/>
      <c r="D17" s="8"/>
      <c r="E17" s="8"/>
      <c r="F17" s="8"/>
      <c r="G17" s="8"/>
      <c r="H17" s="8"/>
      <c r="I17" s="8"/>
      <c r="J17" s="8"/>
      <c r="K17" s="8"/>
      <c r="L17" s="8"/>
      <c r="M17" s="8"/>
      <c r="N17" s="8"/>
      <c r="O17" s="8"/>
      <c r="P17" s="8"/>
      <c r="Q17" s="8"/>
      <c r="R17" s="8"/>
    </row>
    <row r="18" spans="1:18" x14ac:dyDescent="0.35">
      <c r="A18" s="8"/>
      <c r="B18" s="8"/>
      <c r="C18" s="8"/>
      <c r="D18" s="8"/>
      <c r="E18" s="8"/>
      <c r="F18" s="8"/>
      <c r="G18" s="8"/>
      <c r="H18" s="8"/>
      <c r="I18" s="8"/>
      <c r="J18" s="8"/>
      <c r="K18" s="8"/>
      <c r="L18" s="8"/>
      <c r="M18" s="8"/>
      <c r="N18" s="8"/>
      <c r="O18" s="8"/>
      <c r="P18" s="8"/>
      <c r="Q18" s="8"/>
      <c r="R18" s="8"/>
    </row>
    <row r="19" spans="1:18" x14ac:dyDescent="0.35">
      <c r="A19" s="8"/>
      <c r="B19" s="8"/>
      <c r="C19" s="8"/>
      <c r="D19" s="8"/>
      <c r="E19" s="8"/>
      <c r="F19" s="8"/>
      <c r="G19" s="8"/>
      <c r="H19" s="8"/>
      <c r="I19" s="8"/>
      <c r="J19" s="8"/>
      <c r="K19" s="8"/>
      <c r="L19" s="8"/>
      <c r="M19" s="8"/>
      <c r="N19" s="8"/>
      <c r="O19" s="8"/>
      <c r="P19" s="8"/>
      <c r="Q19" s="8"/>
      <c r="R19" s="8"/>
    </row>
    <row r="20" spans="1:18" x14ac:dyDescent="0.35">
      <c r="A20" s="8"/>
      <c r="B20" s="8"/>
      <c r="C20" s="8"/>
      <c r="D20" s="8"/>
      <c r="E20" s="8"/>
      <c r="F20" s="8"/>
      <c r="G20" s="8"/>
      <c r="H20" s="8"/>
      <c r="I20" s="8"/>
      <c r="J20" s="8"/>
      <c r="K20" s="8"/>
      <c r="L20" s="8"/>
      <c r="M20" s="8"/>
      <c r="N20" s="8"/>
      <c r="O20" s="8"/>
      <c r="P20" s="8"/>
      <c r="Q20" s="8"/>
      <c r="R20" s="8"/>
    </row>
    <row r="21" spans="1:18" x14ac:dyDescent="0.35">
      <c r="A21" s="8"/>
      <c r="B21" s="8"/>
      <c r="C21" s="8"/>
      <c r="D21" s="8"/>
      <c r="E21" s="8"/>
      <c r="F21" s="8"/>
      <c r="G21" s="8"/>
      <c r="H21" s="8"/>
      <c r="I21" s="8"/>
      <c r="J21" s="8"/>
      <c r="K21" s="8"/>
      <c r="L21" s="8"/>
      <c r="M21" s="8"/>
      <c r="N21" s="8"/>
      <c r="O21" s="8"/>
      <c r="P21" s="8"/>
      <c r="Q21" s="8"/>
      <c r="R21" s="8"/>
    </row>
    <row r="22" spans="1:18" x14ac:dyDescent="0.35">
      <c r="A22" s="8"/>
      <c r="B22" s="8"/>
      <c r="C22" s="8"/>
      <c r="D22" s="8"/>
      <c r="E22" s="8"/>
      <c r="F22" s="8"/>
      <c r="G22" s="8"/>
      <c r="H22" s="8"/>
      <c r="I22" s="8"/>
      <c r="J22" s="8"/>
      <c r="K22" s="8"/>
      <c r="L22" s="8"/>
      <c r="M22" s="8"/>
      <c r="N22" s="8"/>
      <c r="O22" s="8"/>
      <c r="P22" s="8"/>
      <c r="Q22" s="8"/>
      <c r="R22" s="8"/>
    </row>
    <row r="23" spans="1:18" x14ac:dyDescent="0.35">
      <c r="A23" s="8"/>
      <c r="B23" s="8"/>
      <c r="C23" s="8"/>
      <c r="D23" s="8"/>
      <c r="E23" s="8"/>
      <c r="F23" s="8"/>
      <c r="G23" s="8"/>
      <c r="H23" s="8"/>
      <c r="I23" s="8"/>
      <c r="J23" s="8"/>
      <c r="K23" s="8"/>
      <c r="L23" s="8"/>
      <c r="M23" s="8"/>
      <c r="N23" s="8"/>
      <c r="O23" s="8"/>
      <c r="P23" s="8"/>
      <c r="Q23" s="8"/>
      <c r="R23" s="8"/>
    </row>
    <row r="24" spans="1:18" x14ac:dyDescent="0.35">
      <c r="A24" s="8"/>
      <c r="B24" s="8"/>
      <c r="C24" s="8"/>
      <c r="D24" s="8"/>
      <c r="E24" s="8"/>
      <c r="F24" s="8"/>
      <c r="G24" s="8"/>
      <c r="H24" s="8"/>
      <c r="I24" s="8"/>
      <c r="J24" s="8"/>
      <c r="K24" s="8"/>
      <c r="L24" s="8"/>
      <c r="M24" s="8"/>
      <c r="N24" s="8"/>
      <c r="O24" s="8"/>
      <c r="P24" s="8"/>
      <c r="Q24" s="8"/>
      <c r="R24" s="8"/>
    </row>
    <row r="25" spans="1:18" x14ac:dyDescent="0.35">
      <c r="A25" s="8"/>
      <c r="B25" s="8"/>
      <c r="C25" s="8"/>
      <c r="D25" s="8"/>
      <c r="E25" s="8"/>
      <c r="F25" s="8"/>
      <c r="G25" s="8"/>
      <c r="H25" s="8"/>
      <c r="I25" s="8"/>
      <c r="J25" s="8"/>
      <c r="K25" s="8"/>
      <c r="L25" s="8"/>
      <c r="M25" s="8"/>
      <c r="N25" s="8"/>
      <c r="O25" s="8"/>
      <c r="P25" s="8"/>
      <c r="Q25" s="8"/>
      <c r="R25" s="8"/>
    </row>
    <row r="26" spans="1:18" x14ac:dyDescent="0.35">
      <c r="A26" s="8"/>
      <c r="B26" s="8"/>
      <c r="C26" s="8"/>
      <c r="D26" s="8"/>
      <c r="E26" s="8"/>
      <c r="F26" s="8"/>
      <c r="G26" s="8"/>
      <c r="H26" s="8"/>
      <c r="I26" s="8"/>
      <c r="J26" s="8"/>
      <c r="K26" s="8"/>
      <c r="L26" s="8"/>
      <c r="M26" s="8"/>
      <c r="N26" s="8"/>
      <c r="O26" s="8"/>
      <c r="P26" s="8"/>
      <c r="Q26" s="8"/>
      <c r="R26" s="8"/>
    </row>
    <row r="27" spans="1:18" x14ac:dyDescent="0.35">
      <c r="A27" s="8"/>
      <c r="B27" s="8"/>
      <c r="C27" s="8"/>
      <c r="D27" s="8"/>
      <c r="E27" s="8"/>
      <c r="F27" s="8"/>
      <c r="G27" s="8"/>
      <c r="H27" s="8"/>
      <c r="I27" s="8"/>
      <c r="J27" s="8"/>
      <c r="K27" s="8"/>
      <c r="L27" s="8"/>
      <c r="M27" s="8"/>
      <c r="N27" s="8"/>
      <c r="O27" s="8"/>
      <c r="P27" s="8"/>
      <c r="Q27" s="8"/>
      <c r="R27" s="8"/>
    </row>
    <row r="28" spans="1:18" x14ac:dyDescent="0.35">
      <c r="A28" s="8"/>
      <c r="B28" s="8"/>
      <c r="C28" s="8"/>
      <c r="D28" s="8"/>
      <c r="E28" s="8"/>
      <c r="F28" s="8"/>
      <c r="G28" s="8"/>
      <c r="H28" s="8"/>
      <c r="I28" s="8"/>
      <c r="J28" s="8"/>
      <c r="K28" s="8"/>
      <c r="L28" s="8"/>
      <c r="M28" s="8"/>
      <c r="N28" s="8"/>
      <c r="O28" s="8"/>
      <c r="P28" s="8"/>
      <c r="Q28" s="8"/>
      <c r="R28" s="8"/>
    </row>
    <row r="29" spans="1:18" x14ac:dyDescent="0.35">
      <c r="A29" s="8"/>
      <c r="B29" s="8"/>
      <c r="C29" s="8"/>
      <c r="D29" s="8"/>
      <c r="E29" s="8"/>
      <c r="F29" s="8"/>
      <c r="G29" s="8"/>
      <c r="H29" s="8"/>
      <c r="I29" s="8"/>
      <c r="J29" s="8"/>
      <c r="K29" s="8"/>
      <c r="L29" s="8"/>
      <c r="M29" s="8"/>
      <c r="N29" s="8"/>
      <c r="O29" s="8"/>
      <c r="P29" s="8"/>
      <c r="Q29" s="8"/>
      <c r="R29" s="8"/>
    </row>
    <row r="30" spans="1:18" x14ac:dyDescent="0.35">
      <c r="A30" s="8"/>
      <c r="B30" s="8"/>
      <c r="C30" s="8"/>
      <c r="D30" s="8"/>
      <c r="E30" s="8"/>
      <c r="F30" s="8"/>
      <c r="G30" s="8"/>
      <c r="H30" s="8"/>
      <c r="I30" s="8"/>
      <c r="J30" s="8"/>
      <c r="K30" s="8"/>
      <c r="L30" s="8"/>
      <c r="M30" s="8"/>
      <c r="N30" s="8"/>
      <c r="O30" s="8"/>
      <c r="P30" s="8"/>
      <c r="Q30" s="8"/>
      <c r="R30" s="8"/>
    </row>
    <row r="31" spans="1:18" x14ac:dyDescent="0.35">
      <c r="A31" s="8"/>
      <c r="B31" s="8"/>
      <c r="C31" s="8"/>
      <c r="D31" s="8"/>
      <c r="E31" s="8"/>
      <c r="F31" s="8"/>
      <c r="G31" s="8"/>
      <c r="H31" s="8"/>
      <c r="I31" s="8"/>
      <c r="J31" s="8"/>
      <c r="K31" s="8"/>
      <c r="L31" s="8"/>
      <c r="M31" s="8"/>
      <c r="N31" s="8"/>
      <c r="O31" s="8"/>
      <c r="P31" s="8"/>
      <c r="Q31" s="8"/>
      <c r="R31" s="8"/>
    </row>
    <row r="32" spans="1:18" x14ac:dyDescent="0.35">
      <c r="A32" s="8"/>
      <c r="B32" s="8"/>
      <c r="C32" s="8"/>
      <c r="D32" s="8"/>
      <c r="E32" s="8"/>
      <c r="F32" s="8"/>
      <c r="G32" s="8"/>
      <c r="H32" s="8"/>
      <c r="I32" s="8"/>
      <c r="J32" s="8"/>
      <c r="K32" s="8"/>
      <c r="L32" s="8"/>
      <c r="M32" s="8"/>
      <c r="N32" s="8"/>
      <c r="O32" s="8"/>
      <c r="P32" s="8"/>
      <c r="Q32" s="8"/>
      <c r="R32" s="8"/>
    </row>
    <row r="33" spans="1:18" x14ac:dyDescent="0.35">
      <c r="A33" s="8"/>
      <c r="B33" s="8"/>
      <c r="C33" s="8"/>
      <c r="D33" s="8"/>
      <c r="E33" s="8"/>
      <c r="F33" s="8"/>
      <c r="G33" s="8"/>
      <c r="H33" s="8"/>
      <c r="I33" s="8"/>
      <c r="J33" s="8"/>
      <c r="K33" s="8"/>
      <c r="L33" s="8"/>
      <c r="M33" s="8"/>
      <c r="N33" s="8"/>
      <c r="O33" s="8"/>
      <c r="P33" s="8"/>
      <c r="Q33" s="8"/>
      <c r="R33" s="8"/>
    </row>
    <row r="34" spans="1:18" x14ac:dyDescent="0.35">
      <c r="A34" s="8"/>
      <c r="B34" s="8"/>
      <c r="C34" s="8"/>
      <c r="D34" s="8"/>
      <c r="E34" s="8"/>
      <c r="F34" s="8"/>
      <c r="G34" s="8"/>
      <c r="H34" s="8"/>
      <c r="I34" s="8"/>
      <c r="J34" s="8"/>
      <c r="K34" s="8"/>
      <c r="L34" s="8"/>
      <c r="M34" s="8"/>
      <c r="N34" s="8"/>
      <c r="O34" s="8"/>
      <c r="P34" s="8"/>
      <c r="Q34" s="8"/>
      <c r="R34" s="8"/>
    </row>
    <row r="35" spans="1:18" x14ac:dyDescent="0.35">
      <c r="A35" s="8"/>
      <c r="B35" s="8"/>
      <c r="C35" s="8"/>
      <c r="D35" s="8"/>
      <c r="E35" s="8"/>
      <c r="F35" s="8"/>
      <c r="G35" s="8"/>
      <c r="H35" s="8"/>
      <c r="I35" s="8"/>
      <c r="J35" s="8"/>
      <c r="K35" s="8"/>
      <c r="L35" s="8"/>
      <c r="M35" s="8"/>
      <c r="N35" s="8"/>
      <c r="O35" s="8"/>
      <c r="P35" s="8"/>
      <c r="Q35" s="8"/>
      <c r="R35" s="8"/>
    </row>
    <row r="36" spans="1:18" x14ac:dyDescent="0.35">
      <c r="A36" s="8"/>
      <c r="B36" s="8"/>
      <c r="C36" s="8"/>
      <c r="D36" s="8"/>
      <c r="E36" s="8"/>
      <c r="F36" s="8"/>
      <c r="G36" s="8"/>
      <c r="H36" s="8"/>
      <c r="I36" s="8"/>
      <c r="J36" s="8"/>
      <c r="K36" s="8"/>
      <c r="L36" s="8"/>
      <c r="M36" s="8"/>
      <c r="N36" s="8"/>
      <c r="O36" s="8"/>
      <c r="P36" s="8"/>
      <c r="Q36" s="8"/>
      <c r="R36" s="8"/>
    </row>
    <row r="37" spans="1:18" x14ac:dyDescent="0.35">
      <c r="A37" s="8"/>
      <c r="B37" s="8"/>
      <c r="C37" s="8"/>
      <c r="D37" s="8"/>
      <c r="E37" s="8"/>
      <c r="F37" s="8"/>
      <c r="G37" s="8"/>
      <c r="H37" s="8"/>
      <c r="I37" s="8"/>
      <c r="J37" s="8"/>
      <c r="K37" s="8"/>
      <c r="L37" s="8"/>
      <c r="M37" s="8"/>
      <c r="N37" s="8"/>
      <c r="O37" s="8"/>
      <c r="P37" s="8"/>
      <c r="Q37" s="8"/>
      <c r="R37" s="8"/>
    </row>
    <row r="38" spans="1:18" x14ac:dyDescent="0.35">
      <c r="A38" s="8"/>
      <c r="B38" s="8"/>
      <c r="C38" s="8"/>
      <c r="D38" s="8"/>
      <c r="E38" s="8"/>
      <c r="F38" s="8"/>
      <c r="G38" s="8"/>
      <c r="H38" s="8"/>
      <c r="I38" s="8"/>
      <c r="J38" s="8"/>
      <c r="K38" s="8"/>
      <c r="L38" s="8"/>
      <c r="M38" s="8"/>
      <c r="N38" s="8"/>
      <c r="O38" s="8"/>
      <c r="P38" s="8"/>
      <c r="Q38" s="8"/>
      <c r="R38" s="8"/>
    </row>
    <row r="39" spans="1:18" x14ac:dyDescent="0.35">
      <c r="A39" s="8"/>
      <c r="B39" s="8"/>
      <c r="C39" s="8"/>
      <c r="D39" s="8"/>
      <c r="E39" s="8"/>
      <c r="F39" s="8"/>
      <c r="G39" s="8"/>
      <c r="H39" s="8"/>
      <c r="I39" s="8"/>
      <c r="J39" s="8"/>
      <c r="K39" s="8"/>
      <c r="L39" s="8"/>
      <c r="M39" s="8"/>
      <c r="N39" s="8"/>
      <c r="O39" s="8"/>
      <c r="P39" s="8"/>
      <c r="Q39" s="8"/>
      <c r="R39" s="8"/>
    </row>
    <row r="40" spans="1:18" x14ac:dyDescent="0.35">
      <c r="A40" s="8"/>
      <c r="B40" s="8"/>
      <c r="C40" s="8"/>
      <c r="D40" s="8"/>
      <c r="E40" s="8"/>
      <c r="F40" s="8"/>
      <c r="G40" s="8"/>
      <c r="H40" s="8"/>
      <c r="I40" s="8"/>
      <c r="J40" s="8"/>
      <c r="K40" s="8"/>
      <c r="L40" s="8"/>
      <c r="M40" s="8"/>
      <c r="N40" s="8"/>
      <c r="O40" s="8"/>
      <c r="P40" s="8"/>
      <c r="Q40" s="8"/>
      <c r="R40" s="8"/>
    </row>
    <row r="41" spans="1:18" x14ac:dyDescent="0.35">
      <c r="A41" s="8"/>
      <c r="B41" s="8"/>
      <c r="C41" s="8"/>
      <c r="D41" s="8"/>
      <c r="E41" s="8"/>
      <c r="F41" s="8"/>
      <c r="G41" s="8"/>
      <c r="H41" s="8"/>
      <c r="I41" s="8"/>
      <c r="J41" s="8"/>
      <c r="K41" s="8"/>
      <c r="L41" s="8"/>
      <c r="M41" s="8"/>
      <c r="N41" s="8"/>
      <c r="O41" s="8"/>
      <c r="P41" s="8"/>
      <c r="Q41" s="8"/>
      <c r="R41" s="8"/>
    </row>
    <row r="42" spans="1:18" x14ac:dyDescent="0.35">
      <c r="A42" s="8"/>
      <c r="B42" s="8"/>
      <c r="C42" s="8"/>
      <c r="D42" s="8"/>
      <c r="E42" s="8"/>
      <c r="F42" s="8"/>
      <c r="G42" s="8"/>
      <c r="H42" s="8"/>
      <c r="I42" s="8"/>
      <c r="J42" s="8"/>
      <c r="K42" s="8"/>
      <c r="L42" s="8"/>
      <c r="M42" s="8"/>
      <c r="N42" s="8"/>
      <c r="O42" s="8"/>
      <c r="P42" s="8"/>
      <c r="Q42" s="8"/>
      <c r="R42" s="8"/>
    </row>
    <row r="43" spans="1:18" x14ac:dyDescent="0.35">
      <c r="A43" s="8"/>
      <c r="B43" s="8"/>
      <c r="C43" s="8"/>
      <c r="D43" s="8"/>
      <c r="E43" s="8"/>
      <c r="F43" s="8"/>
      <c r="G43" s="8"/>
      <c r="H43" s="8"/>
      <c r="I43" s="8"/>
      <c r="J43" s="8"/>
      <c r="K43" s="8"/>
      <c r="L43" s="8"/>
      <c r="M43" s="8"/>
      <c r="N43" s="8"/>
      <c r="O43" s="8"/>
      <c r="P43" s="8"/>
      <c r="Q43" s="8"/>
      <c r="R43" s="8"/>
    </row>
    <row r="44" spans="1:18" x14ac:dyDescent="0.35">
      <c r="A44" s="8"/>
      <c r="B44" s="8"/>
      <c r="C44" s="8"/>
      <c r="D44" s="8"/>
      <c r="E44" s="8"/>
      <c r="F44" s="8"/>
      <c r="G44" s="8"/>
      <c r="H44" s="8"/>
      <c r="I44" s="8"/>
      <c r="J44" s="8"/>
      <c r="K44" s="8"/>
      <c r="L44" s="8"/>
      <c r="M44" s="8"/>
      <c r="N44" s="8"/>
      <c r="O44" s="8"/>
      <c r="P44" s="8"/>
      <c r="Q44" s="8"/>
      <c r="R44" s="8"/>
    </row>
    <row r="45" spans="1:18" x14ac:dyDescent="0.35">
      <c r="A45" s="8"/>
      <c r="B45" s="8"/>
      <c r="C45" s="8"/>
      <c r="D45" s="8"/>
      <c r="E45" s="8"/>
      <c r="F45" s="8"/>
      <c r="G45" s="8"/>
      <c r="H45" s="8"/>
      <c r="I45" s="8"/>
      <c r="J45" s="8"/>
      <c r="K45" s="8"/>
      <c r="L45" s="8"/>
      <c r="M45" s="8"/>
      <c r="N45" s="8"/>
      <c r="O45" s="8"/>
      <c r="P45" s="8"/>
      <c r="Q45" s="8"/>
      <c r="R45" s="8"/>
    </row>
    <row r="46" spans="1:18" x14ac:dyDescent="0.35">
      <c r="A46" s="8"/>
      <c r="B46" s="8"/>
      <c r="C46" s="8"/>
      <c r="D46" s="8"/>
      <c r="E46" s="8"/>
      <c r="F46" s="8"/>
      <c r="G46" s="8"/>
      <c r="H46" s="8"/>
      <c r="I46" s="8"/>
      <c r="J46" s="8"/>
      <c r="K46" s="8"/>
      <c r="L46" s="8"/>
      <c r="M46" s="8"/>
      <c r="N46" s="8"/>
      <c r="O46" s="8"/>
      <c r="P46" s="8"/>
      <c r="Q46" s="8"/>
      <c r="R46" s="8"/>
    </row>
    <row r="47" spans="1:18" x14ac:dyDescent="0.35">
      <c r="A47" s="8"/>
      <c r="B47" s="8"/>
      <c r="C47" s="8"/>
      <c r="D47" s="8"/>
      <c r="E47" s="8"/>
      <c r="F47" s="8"/>
      <c r="G47" s="8"/>
      <c r="H47" s="8"/>
      <c r="I47" s="8"/>
      <c r="J47" s="8"/>
      <c r="K47" s="8"/>
      <c r="L47" s="8"/>
      <c r="M47" s="8"/>
      <c r="N47" s="8"/>
      <c r="O47" s="8"/>
      <c r="P47" s="8"/>
      <c r="Q47" s="8"/>
      <c r="R47" s="8"/>
    </row>
    <row r="48" spans="1:18" x14ac:dyDescent="0.35">
      <c r="A48" s="8"/>
      <c r="B48" s="8"/>
      <c r="C48" s="8"/>
      <c r="D48" s="8"/>
      <c r="E48" s="8"/>
      <c r="F48" s="8"/>
      <c r="G48" s="8"/>
      <c r="H48" s="8"/>
      <c r="I48" s="8"/>
      <c r="J48" s="8"/>
      <c r="K48" s="8"/>
      <c r="L48" s="8"/>
      <c r="M48" s="8"/>
      <c r="N48" s="8"/>
      <c r="O48" s="8"/>
      <c r="P48" s="8"/>
      <c r="Q48" s="8"/>
      <c r="R48" s="8"/>
    </row>
    <row r="49" spans="1:18" x14ac:dyDescent="0.35">
      <c r="A49" s="8"/>
      <c r="B49" s="8"/>
      <c r="C49" s="8"/>
      <c r="D49" s="8"/>
      <c r="E49" s="8"/>
      <c r="F49" s="8"/>
      <c r="G49" s="8"/>
      <c r="H49" s="8"/>
      <c r="I49" s="8"/>
      <c r="J49" s="8"/>
      <c r="K49" s="8"/>
      <c r="L49" s="8"/>
      <c r="M49" s="8"/>
      <c r="N49" s="8"/>
      <c r="O49" s="8"/>
      <c r="P49" s="8"/>
      <c r="Q49" s="8"/>
      <c r="R49" s="8"/>
    </row>
    <row r="50" spans="1:18" x14ac:dyDescent="0.35">
      <c r="A50" s="8"/>
      <c r="B50" s="8"/>
      <c r="C50" s="8"/>
      <c r="D50" s="8"/>
      <c r="E50" s="8"/>
      <c r="F50" s="8"/>
      <c r="G50" s="8"/>
      <c r="H50" s="8"/>
      <c r="I50" s="8"/>
      <c r="J50" s="8"/>
      <c r="K50" s="8"/>
      <c r="L50" s="8"/>
      <c r="M50" s="8"/>
      <c r="N50" s="8"/>
      <c r="O50" s="8"/>
      <c r="P50" s="8"/>
      <c r="Q50" s="8"/>
      <c r="R50" s="8"/>
    </row>
    <row r="51" spans="1:18" x14ac:dyDescent="0.35">
      <c r="A51" s="8"/>
      <c r="B51" s="8"/>
      <c r="C51" s="8"/>
      <c r="D51" s="8"/>
      <c r="E51" s="8"/>
      <c r="F51" s="8"/>
      <c r="G51" s="8"/>
      <c r="H51" s="8"/>
      <c r="I51" s="8"/>
      <c r="J51" s="8"/>
      <c r="K51" s="8"/>
      <c r="L51" s="8"/>
      <c r="M51" s="8"/>
      <c r="N51" s="8"/>
      <c r="O51" s="8"/>
      <c r="P51" s="8"/>
      <c r="Q51" s="8"/>
      <c r="R51" s="8"/>
    </row>
    <row r="52" spans="1:18" x14ac:dyDescent="0.35">
      <c r="A52" s="8"/>
      <c r="B52" s="8"/>
      <c r="C52" s="8"/>
      <c r="D52" s="8"/>
      <c r="E52" s="8"/>
      <c r="F52" s="8"/>
      <c r="G52" s="8"/>
      <c r="H52" s="8"/>
      <c r="I52" s="8"/>
      <c r="J52" s="8"/>
      <c r="K52" s="8"/>
      <c r="L52" s="8"/>
      <c r="M52" s="8"/>
      <c r="N52" s="8"/>
      <c r="O52" s="8"/>
      <c r="P52" s="8"/>
      <c r="Q52" s="8"/>
      <c r="R52" s="8"/>
    </row>
    <row r="53" spans="1:18" x14ac:dyDescent="0.35">
      <c r="A53" s="8"/>
      <c r="B53" s="8"/>
      <c r="C53" s="8"/>
      <c r="D53" s="8"/>
      <c r="E53" s="8"/>
      <c r="F53" s="8"/>
      <c r="G53" s="8"/>
      <c r="H53" s="8"/>
      <c r="I53" s="8"/>
      <c r="J53" s="8"/>
      <c r="K53" s="8"/>
      <c r="L53" s="8"/>
      <c r="M53" s="8"/>
      <c r="N53" s="8"/>
      <c r="O53" s="8"/>
      <c r="P53" s="8"/>
      <c r="Q53" s="8"/>
      <c r="R53" s="8"/>
    </row>
    <row r="54" spans="1:18" x14ac:dyDescent="0.35">
      <c r="A54" s="8"/>
      <c r="B54" s="8"/>
      <c r="C54" s="8"/>
      <c r="D54" s="8"/>
      <c r="E54" s="8"/>
      <c r="F54" s="8"/>
      <c r="G54" s="8"/>
      <c r="H54" s="8"/>
      <c r="I54" s="8"/>
      <c r="J54" s="8"/>
      <c r="K54" s="8"/>
      <c r="L54" s="8"/>
      <c r="M54" s="8"/>
      <c r="N54" s="8"/>
      <c r="O54" s="8"/>
      <c r="P54" s="8"/>
      <c r="Q54" s="8"/>
      <c r="R54" s="8"/>
    </row>
    <row r="55" spans="1:18" x14ac:dyDescent="0.35">
      <c r="A55" s="8"/>
      <c r="B55" s="8"/>
      <c r="C55" s="8"/>
      <c r="D55" s="8"/>
      <c r="E55" s="8"/>
      <c r="F55" s="8"/>
      <c r="G55" s="8"/>
      <c r="H55" s="8"/>
      <c r="I55" s="8"/>
      <c r="J55" s="8"/>
      <c r="K55" s="8"/>
      <c r="L55" s="8"/>
      <c r="M55" s="8"/>
      <c r="N55" s="8"/>
      <c r="O55" s="8"/>
      <c r="P55" s="8"/>
      <c r="Q55" s="8"/>
      <c r="R55" s="8"/>
    </row>
    <row r="56" spans="1:18" x14ac:dyDescent="0.35">
      <c r="A56" s="8"/>
      <c r="B56" s="8"/>
      <c r="C56" s="8"/>
      <c r="D56" s="8"/>
      <c r="E56" s="8"/>
      <c r="F56" s="8"/>
      <c r="G56" s="8"/>
      <c r="H56" s="8"/>
      <c r="I56" s="8"/>
      <c r="J56" s="8"/>
      <c r="K56" s="8"/>
      <c r="L56" s="8"/>
      <c r="M56" s="8"/>
      <c r="N56" s="8"/>
      <c r="O56" s="8"/>
      <c r="P56" s="8"/>
      <c r="Q56" s="8"/>
      <c r="R56" s="8"/>
    </row>
    <row r="57" spans="1:18" x14ac:dyDescent="0.35">
      <c r="A57" s="8"/>
      <c r="B57" s="8"/>
      <c r="C57" s="8"/>
      <c r="D57" s="8"/>
      <c r="E57" s="8"/>
      <c r="F57" s="8"/>
      <c r="G57" s="8"/>
      <c r="H57" s="8"/>
      <c r="I57" s="8"/>
      <c r="J57" s="8"/>
      <c r="K57" s="8"/>
      <c r="L57" s="8"/>
      <c r="M57" s="8"/>
      <c r="N57" s="8"/>
      <c r="O57" s="8"/>
      <c r="P57" s="8"/>
      <c r="Q57" s="8"/>
      <c r="R57" s="8"/>
    </row>
    <row r="58" spans="1:18" x14ac:dyDescent="0.35">
      <c r="A58" s="8"/>
      <c r="B58" s="8"/>
      <c r="C58" s="8"/>
      <c r="D58" s="8"/>
      <c r="E58" s="8"/>
      <c r="F58" s="8"/>
      <c r="G58" s="8"/>
      <c r="H58" s="8"/>
      <c r="I58" s="8"/>
      <c r="J58" s="8"/>
      <c r="K58" s="8"/>
      <c r="L58" s="8"/>
      <c r="M58" s="8"/>
      <c r="N58" s="8"/>
      <c r="O58" s="8"/>
      <c r="P58" s="8"/>
      <c r="Q58" s="8"/>
      <c r="R58" s="8"/>
    </row>
    <row r="59" spans="1:18" x14ac:dyDescent="0.35">
      <c r="A59" s="8"/>
      <c r="B59" s="8"/>
      <c r="C59" s="8"/>
      <c r="D59" s="8"/>
      <c r="E59" s="8"/>
      <c r="F59" s="8"/>
      <c r="G59" s="8"/>
      <c r="H59" s="8"/>
      <c r="I59" s="8"/>
      <c r="J59" s="8"/>
      <c r="K59" s="8"/>
      <c r="L59" s="8"/>
      <c r="M59" s="8"/>
      <c r="N59" s="8"/>
      <c r="O59" s="8"/>
      <c r="P59" s="8"/>
      <c r="Q59" s="8"/>
      <c r="R59" s="8"/>
    </row>
    <row r="60" spans="1:18" x14ac:dyDescent="0.35">
      <c r="A60" s="8"/>
      <c r="B60" s="8"/>
      <c r="C60" s="8"/>
      <c r="D60" s="8"/>
      <c r="E60" s="8"/>
      <c r="F60" s="8"/>
      <c r="G60" s="8"/>
      <c r="H60" s="8"/>
      <c r="I60" s="8"/>
      <c r="J60" s="8"/>
      <c r="K60" s="8"/>
      <c r="L60" s="8"/>
      <c r="M60" s="8"/>
      <c r="N60" s="8"/>
      <c r="O60" s="8"/>
      <c r="P60" s="8"/>
      <c r="Q60" s="8"/>
      <c r="R60" s="8"/>
    </row>
    <row r="61" spans="1:18" x14ac:dyDescent="0.35">
      <c r="A61" s="8"/>
      <c r="B61" s="8"/>
      <c r="C61" s="8"/>
      <c r="D61" s="8"/>
      <c r="E61" s="8"/>
      <c r="F61" s="8"/>
      <c r="G61" s="8"/>
      <c r="H61" s="8"/>
      <c r="I61" s="8"/>
      <c r="J61" s="8"/>
      <c r="K61" s="8"/>
      <c r="L61" s="8"/>
      <c r="M61" s="8"/>
      <c r="N61" s="8"/>
      <c r="O61" s="8"/>
      <c r="P61" s="8"/>
      <c r="Q61" s="8"/>
      <c r="R61" s="8"/>
    </row>
  </sheetData>
  <mergeCells count="1">
    <mergeCell ref="B2: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PT_Monthly Stock Price Trend</vt:lpstr>
      <vt:lpstr>PT_Volume Analysis</vt:lpstr>
      <vt:lpstr>PT_Up &amp; Down Days</vt:lpstr>
      <vt:lpstr>PT_Avg Return</vt:lpstr>
      <vt:lpstr>finance-charts-apple</vt:lpstr>
      <vt:lpstr>Stock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Samruddhi Shahane</dc:creator>
  <cp:lastModifiedBy>Samruddhi Shahane</cp:lastModifiedBy>
  <dcterms:created xsi:type="dcterms:W3CDTF">2026-03-24T14:21:55Z</dcterms:created>
  <dcterms:modified xsi:type="dcterms:W3CDTF">2026-06-01T14:31:57Z</dcterms:modified>
</cp:coreProperties>
</file>